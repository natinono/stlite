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10"/>
  <workbookPr defaultThemeVersion="166925"/>
  <xr:revisionPtr revIDLastSave="4" documentId="11_992BC325BBB08BCD077537CBF75AC1944702A399" xr6:coauthVersionLast="47" xr6:coauthVersionMax="47" xr10:uidLastSave="{B78CBC5F-751A-4DA0-AD3E-6B8470E25E29}"/>
  <bookViews>
    <workbookView xWindow="0" yWindow="0" windowWidth="16384" windowHeight="8192" tabRatio="500" xr2:uid="{00000000-000D-0000-FFFF-FFFF00000000}"/>
  </bookViews>
  <sheets>
    <sheet name="Sheet1" sheetId="1" r:id="rId1"/>
    <sheet name="include_hifumi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5" i="2" l="1"/>
  <c r="E132" i="1"/>
  <c r="E136" i="1" s="1"/>
  <c r="E140" i="1" s="1"/>
  <c r="E144" i="1" s="1"/>
  <c r="E148" i="1" s="1"/>
  <c r="E152" i="1" s="1"/>
  <c r="E156" i="1" s="1"/>
  <c r="E160" i="1" s="1"/>
  <c r="E164" i="1" s="1"/>
  <c r="E168" i="1" s="1"/>
  <c r="E172" i="1" s="1"/>
  <c r="E176" i="1" s="1"/>
  <c r="E180" i="1" s="1"/>
  <c r="E184" i="1" s="1"/>
  <c r="E188" i="1" s="1"/>
  <c r="E192" i="1" s="1"/>
  <c r="E196" i="1" s="1"/>
  <c r="E200" i="1" s="1"/>
  <c r="E204" i="1" s="1"/>
  <c r="E208" i="1" s="1"/>
  <c r="E212" i="1" s="1"/>
  <c r="E216" i="1" s="1"/>
  <c r="E220" i="1" s="1"/>
  <c r="E224" i="1" s="1"/>
  <c r="E228" i="1" s="1"/>
  <c r="E232" i="1" s="1"/>
  <c r="E236" i="1" s="1"/>
  <c r="E240" i="1" s="1"/>
  <c r="E244" i="1" s="1"/>
  <c r="E248" i="1" s="1"/>
  <c r="E252" i="1" s="1"/>
  <c r="E256" i="1" s="1"/>
  <c r="E260" i="1" s="1"/>
  <c r="E264" i="1" s="1"/>
  <c r="E268" i="1" s="1"/>
  <c r="E272" i="1" s="1"/>
  <c r="E276" i="1" s="1"/>
  <c r="E280" i="1" s="1"/>
  <c r="E284" i="1" s="1"/>
  <c r="E288" i="1" s="1"/>
  <c r="E292" i="1" s="1"/>
  <c r="E296" i="1" s="1"/>
  <c r="E300" i="1" s="1"/>
  <c r="E304" i="1" s="1"/>
  <c r="E308" i="1" s="1"/>
  <c r="E312" i="1" s="1"/>
  <c r="E316" i="1" s="1"/>
  <c r="E320" i="1" s="1"/>
  <c r="E324" i="1" s="1"/>
  <c r="E328" i="1" s="1"/>
  <c r="E332" i="1" s="1"/>
  <c r="E336" i="1" s="1"/>
  <c r="E340" i="1" s="1"/>
  <c r="E344" i="1" s="1"/>
  <c r="E348" i="1" s="1"/>
  <c r="E352" i="1" s="1"/>
  <c r="E356" i="1" s="1"/>
  <c r="E360" i="1" s="1"/>
  <c r="E364" i="1" s="1"/>
  <c r="D132" i="1"/>
  <c r="D136" i="1" s="1"/>
  <c r="D140" i="1" s="1"/>
  <c r="D144" i="1" s="1"/>
  <c r="D148" i="1" s="1"/>
  <c r="D152" i="1" s="1"/>
  <c r="D156" i="1" s="1"/>
  <c r="D160" i="1" s="1"/>
  <c r="D164" i="1" s="1"/>
  <c r="D168" i="1" s="1"/>
  <c r="D172" i="1" s="1"/>
  <c r="D176" i="1" s="1"/>
  <c r="D180" i="1" s="1"/>
  <c r="D184" i="1" s="1"/>
  <c r="D188" i="1" s="1"/>
  <c r="D192" i="1" s="1"/>
  <c r="D196" i="1" s="1"/>
  <c r="D200" i="1" s="1"/>
  <c r="D204" i="1" s="1"/>
  <c r="D208" i="1" s="1"/>
  <c r="D212" i="1" s="1"/>
  <c r="D216" i="1" s="1"/>
  <c r="D220" i="1" s="1"/>
  <c r="D224" i="1" s="1"/>
  <c r="D228" i="1" s="1"/>
  <c r="D232" i="1" s="1"/>
  <c r="D236" i="1" s="1"/>
  <c r="D240" i="1" s="1"/>
  <c r="D244" i="1" s="1"/>
  <c r="D248" i="1" s="1"/>
  <c r="D252" i="1" s="1"/>
  <c r="D256" i="1" s="1"/>
  <c r="D260" i="1" s="1"/>
  <c r="D264" i="1" s="1"/>
  <c r="D268" i="1" s="1"/>
  <c r="D272" i="1" s="1"/>
  <c r="D276" i="1" s="1"/>
  <c r="D280" i="1" s="1"/>
  <c r="D284" i="1" s="1"/>
  <c r="D288" i="1" s="1"/>
  <c r="D292" i="1" s="1"/>
  <c r="D296" i="1" s="1"/>
  <c r="D300" i="1" s="1"/>
  <c r="D304" i="1" s="1"/>
  <c r="D308" i="1" s="1"/>
  <c r="D312" i="1" s="1"/>
  <c r="D316" i="1" s="1"/>
  <c r="D320" i="1" s="1"/>
  <c r="D324" i="1" s="1"/>
  <c r="D328" i="1" s="1"/>
  <c r="D332" i="1" s="1"/>
  <c r="D336" i="1" s="1"/>
  <c r="D340" i="1" s="1"/>
  <c r="D344" i="1" s="1"/>
  <c r="D348" i="1" s="1"/>
  <c r="D352" i="1" s="1"/>
  <c r="D356" i="1" s="1"/>
  <c r="D360" i="1" s="1"/>
  <c r="D364" i="1" s="1"/>
  <c r="C132" i="1"/>
  <c r="C136" i="1" s="1"/>
  <c r="C140" i="1" s="1"/>
  <c r="C144" i="1" s="1"/>
  <c r="C148" i="1" s="1"/>
  <c r="C152" i="1" s="1"/>
  <c r="C156" i="1" s="1"/>
  <c r="C160" i="1" s="1"/>
  <c r="C164" i="1" s="1"/>
  <c r="C168" i="1" s="1"/>
  <c r="C172" i="1" s="1"/>
  <c r="C176" i="1" s="1"/>
  <c r="C180" i="1" s="1"/>
  <c r="C184" i="1" s="1"/>
  <c r="C188" i="1" s="1"/>
  <c r="C192" i="1" s="1"/>
  <c r="C196" i="1" s="1"/>
  <c r="C200" i="1" s="1"/>
  <c r="C204" i="1" s="1"/>
  <c r="C208" i="1" s="1"/>
  <c r="C212" i="1" s="1"/>
  <c r="C216" i="1" s="1"/>
  <c r="C220" i="1" s="1"/>
  <c r="C224" i="1" s="1"/>
  <c r="C228" i="1" s="1"/>
  <c r="C232" i="1" s="1"/>
  <c r="C236" i="1" s="1"/>
  <c r="C240" i="1" s="1"/>
  <c r="C244" i="1" s="1"/>
  <c r="C248" i="1" s="1"/>
  <c r="C252" i="1" s="1"/>
  <c r="C256" i="1" s="1"/>
  <c r="C260" i="1" s="1"/>
  <c r="C264" i="1" s="1"/>
  <c r="C268" i="1" s="1"/>
  <c r="C272" i="1" s="1"/>
  <c r="C276" i="1" s="1"/>
  <c r="C280" i="1" s="1"/>
  <c r="C284" i="1" s="1"/>
  <c r="C288" i="1" s="1"/>
  <c r="C292" i="1" s="1"/>
  <c r="C296" i="1" s="1"/>
  <c r="C300" i="1" s="1"/>
  <c r="C304" i="1" s="1"/>
  <c r="C308" i="1" s="1"/>
  <c r="C312" i="1" s="1"/>
  <c r="C316" i="1" s="1"/>
  <c r="C320" i="1" s="1"/>
  <c r="C324" i="1" s="1"/>
  <c r="C328" i="1" s="1"/>
  <c r="C332" i="1" s="1"/>
  <c r="C336" i="1" s="1"/>
  <c r="C340" i="1" s="1"/>
  <c r="C344" i="1" s="1"/>
  <c r="C348" i="1" s="1"/>
  <c r="C352" i="1" s="1"/>
  <c r="C356" i="1" s="1"/>
  <c r="C360" i="1" s="1"/>
  <c r="C364" i="1" s="1"/>
  <c r="B132" i="1"/>
  <c r="B136" i="1" s="1"/>
  <c r="B140" i="1" s="1"/>
  <c r="B144" i="1" s="1"/>
  <c r="B148" i="1" s="1"/>
  <c r="B152" i="1" s="1"/>
  <c r="B156" i="1" s="1"/>
  <c r="B160" i="1" s="1"/>
  <c r="B164" i="1" s="1"/>
  <c r="B168" i="1" s="1"/>
  <c r="B172" i="1" s="1"/>
  <c r="B176" i="1" s="1"/>
  <c r="B180" i="1" s="1"/>
  <c r="B184" i="1" s="1"/>
  <c r="B188" i="1" s="1"/>
  <c r="B192" i="1" s="1"/>
  <c r="B196" i="1" s="1"/>
  <c r="B200" i="1" s="1"/>
  <c r="B204" i="1" s="1"/>
  <c r="B208" i="1" s="1"/>
  <c r="B212" i="1" s="1"/>
  <c r="B216" i="1" s="1"/>
  <c r="B220" i="1" s="1"/>
  <c r="B224" i="1" s="1"/>
  <c r="B228" i="1" s="1"/>
  <c r="B232" i="1" s="1"/>
  <c r="B236" i="1" s="1"/>
  <c r="B240" i="1" s="1"/>
  <c r="B244" i="1" s="1"/>
  <c r="B248" i="1" s="1"/>
  <c r="B252" i="1" s="1"/>
  <c r="B256" i="1" s="1"/>
  <c r="B260" i="1" s="1"/>
  <c r="B264" i="1" s="1"/>
  <c r="B268" i="1" s="1"/>
  <c r="B272" i="1" s="1"/>
  <c r="B276" i="1" s="1"/>
  <c r="B280" i="1" s="1"/>
  <c r="B284" i="1" s="1"/>
  <c r="B288" i="1" s="1"/>
  <c r="B292" i="1" s="1"/>
  <c r="B296" i="1" s="1"/>
  <c r="B300" i="1" s="1"/>
  <c r="B304" i="1" s="1"/>
  <c r="B308" i="1" s="1"/>
  <c r="B312" i="1" s="1"/>
  <c r="B316" i="1" s="1"/>
  <c r="B320" i="1" s="1"/>
  <c r="B324" i="1" s="1"/>
  <c r="B328" i="1" s="1"/>
  <c r="B332" i="1" s="1"/>
  <c r="B336" i="1" s="1"/>
  <c r="B340" i="1" s="1"/>
  <c r="B344" i="1" s="1"/>
  <c r="B348" i="1" s="1"/>
  <c r="B352" i="1" s="1"/>
  <c r="B356" i="1" s="1"/>
  <c r="B360" i="1" s="1"/>
  <c r="B364" i="1" s="1"/>
  <c r="E131" i="1"/>
  <c r="E135" i="1" s="1"/>
  <c r="E139" i="1" s="1"/>
  <c r="E143" i="1" s="1"/>
  <c r="E147" i="1" s="1"/>
  <c r="E151" i="1" s="1"/>
  <c r="E155" i="1" s="1"/>
  <c r="E159" i="1" s="1"/>
  <c r="E163" i="1" s="1"/>
  <c r="E167" i="1" s="1"/>
  <c r="E171" i="1" s="1"/>
  <c r="E175" i="1" s="1"/>
  <c r="E179" i="1" s="1"/>
  <c r="E183" i="1" s="1"/>
  <c r="E187" i="1" s="1"/>
  <c r="E191" i="1" s="1"/>
  <c r="E195" i="1" s="1"/>
  <c r="E199" i="1" s="1"/>
  <c r="E203" i="1" s="1"/>
  <c r="E207" i="1" s="1"/>
  <c r="E211" i="1" s="1"/>
  <c r="E215" i="1" s="1"/>
  <c r="E219" i="1" s="1"/>
  <c r="E223" i="1" s="1"/>
  <c r="E227" i="1" s="1"/>
  <c r="E231" i="1" s="1"/>
  <c r="E235" i="1" s="1"/>
  <c r="E239" i="1" s="1"/>
  <c r="E243" i="1" s="1"/>
  <c r="E247" i="1" s="1"/>
  <c r="E251" i="1" s="1"/>
  <c r="E255" i="1" s="1"/>
  <c r="E259" i="1" s="1"/>
  <c r="E263" i="1" s="1"/>
  <c r="E267" i="1" s="1"/>
  <c r="E271" i="1" s="1"/>
  <c r="E275" i="1" s="1"/>
  <c r="E279" i="1" s="1"/>
  <c r="E283" i="1" s="1"/>
  <c r="E287" i="1" s="1"/>
  <c r="E291" i="1" s="1"/>
  <c r="E295" i="1" s="1"/>
  <c r="E299" i="1" s="1"/>
  <c r="E303" i="1" s="1"/>
  <c r="E307" i="1" s="1"/>
  <c r="E311" i="1" s="1"/>
  <c r="E315" i="1" s="1"/>
  <c r="E319" i="1" s="1"/>
  <c r="E323" i="1" s="1"/>
  <c r="E327" i="1" s="1"/>
  <c r="E331" i="1" s="1"/>
  <c r="E335" i="1" s="1"/>
  <c r="E339" i="1" s="1"/>
  <c r="E343" i="1" s="1"/>
  <c r="E347" i="1" s="1"/>
  <c r="E351" i="1" s="1"/>
  <c r="E355" i="1" s="1"/>
  <c r="E359" i="1" s="1"/>
  <c r="E363" i="1" s="1"/>
  <c r="D131" i="1"/>
  <c r="D135" i="1" s="1"/>
  <c r="D139" i="1" s="1"/>
  <c r="D143" i="1" s="1"/>
  <c r="D147" i="1" s="1"/>
  <c r="D151" i="1" s="1"/>
  <c r="D155" i="1" s="1"/>
  <c r="D159" i="1" s="1"/>
  <c r="D163" i="1" s="1"/>
  <c r="D167" i="1" s="1"/>
  <c r="D171" i="1" s="1"/>
  <c r="D175" i="1" s="1"/>
  <c r="D179" i="1" s="1"/>
  <c r="D183" i="1" s="1"/>
  <c r="D187" i="1" s="1"/>
  <c r="D191" i="1" s="1"/>
  <c r="D195" i="1" s="1"/>
  <c r="D199" i="1" s="1"/>
  <c r="D203" i="1" s="1"/>
  <c r="D207" i="1" s="1"/>
  <c r="D211" i="1" s="1"/>
  <c r="D215" i="1" s="1"/>
  <c r="D219" i="1" s="1"/>
  <c r="D223" i="1" s="1"/>
  <c r="D227" i="1" s="1"/>
  <c r="D231" i="1" s="1"/>
  <c r="D235" i="1" s="1"/>
  <c r="D239" i="1" s="1"/>
  <c r="D243" i="1" s="1"/>
  <c r="D247" i="1" s="1"/>
  <c r="D251" i="1" s="1"/>
  <c r="D255" i="1" s="1"/>
  <c r="D259" i="1" s="1"/>
  <c r="D263" i="1" s="1"/>
  <c r="D267" i="1" s="1"/>
  <c r="D271" i="1" s="1"/>
  <c r="D275" i="1" s="1"/>
  <c r="D279" i="1" s="1"/>
  <c r="D283" i="1" s="1"/>
  <c r="D287" i="1" s="1"/>
  <c r="D291" i="1" s="1"/>
  <c r="D295" i="1" s="1"/>
  <c r="D299" i="1" s="1"/>
  <c r="D303" i="1" s="1"/>
  <c r="D307" i="1" s="1"/>
  <c r="D311" i="1" s="1"/>
  <c r="D315" i="1" s="1"/>
  <c r="D319" i="1" s="1"/>
  <c r="D323" i="1" s="1"/>
  <c r="D327" i="1" s="1"/>
  <c r="D331" i="1" s="1"/>
  <c r="D335" i="1" s="1"/>
  <c r="D339" i="1" s="1"/>
  <c r="D343" i="1" s="1"/>
  <c r="D347" i="1" s="1"/>
  <c r="D351" i="1" s="1"/>
  <c r="D355" i="1" s="1"/>
  <c r="D359" i="1" s="1"/>
  <c r="D363" i="1" s="1"/>
  <c r="C131" i="1"/>
  <c r="C135" i="1" s="1"/>
  <c r="C139" i="1" s="1"/>
  <c r="C143" i="1" s="1"/>
  <c r="C147" i="1" s="1"/>
  <c r="C151" i="1" s="1"/>
  <c r="C155" i="1" s="1"/>
  <c r="C159" i="1" s="1"/>
  <c r="C163" i="1" s="1"/>
  <c r="C167" i="1" s="1"/>
  <c r="C171" i="1" s="1"/>
  <c r="C175" i="1" s="1"/>
  <c r="C179" i="1" s="1"/>
  <c r="C183" i="1" s="1"/>
  <c r="C187" i="1" s="1"/>
  <c r="C191" i="1" s="1"/>
  <c r="C195" i="1" s="1"/>
  <c r="C199" i="1" s="1"/>
  <c r="C203" i="1" s="1"/>
  <c r="C207" i="1" s="1"/>
  <c r="C211" i="1" s="1"/>
  <c r="C215" i="1" s="1"/>
  <c r="C219" i="1" s="1"/>
  <c r="C223" i="1" s="1"/>
  <c r="C227" i="1" s="1"/>
  <c r="C231" i="1" s="1"/>
  <c r="C235" i="1" s="1"/>
  <c r="C239" i="1" s="1"/>
  <c r="C243" i="1" s="1"/>
  <c r="C247" i="1" s="1"/>
  <c r="C251" i="1" s="1"/>
  <c r="C255" i="1" s="1"/>
  <c r="C259" i="1" s="1"/>
  <c r="C263" i="1" s="1"/>
  <c r="C267" i="1" s="1"/>
  <c r="C271" i="1" s="1"/>
  <c r="C275" i="1" s="1"/>
  <c r="C279" i="1" s="1"/>
  <c r="C283" i="1" s="1"/>
  <c r="C287" i="1" s="1"/>
  <c r="C291" i="1" s="1"/>
  <c r="C295" i="1" s="1"/>
  <c r="C299" i="1" s="1"/>
  <c r="C303" i="1" s="1"/>
  <c r="C307" i="1" s="1"/>
  <c r="C311" i="1" s="1"/>
  <c r="C315" i="1" s="1"/>
  <c r="C319" i="1" s="1"/>
  <c r="C323" i="1" s="1"/>
  <c r="C327" i="1" s="1"/>
  <c r="C331" i="1" s="1"/>
  <c r="C335" i="1" s="1"/>
  <c r="C339" i="1" s="1"/>
  <c r="C343" i="1" s="1"/>
  <c r="C347" i="1" s="1"/>
  <c r="C351" i="1" s="1"/>
  <c r="C355" i="1" s="1"/>
  <c r="C359" i="1" s="1"/>
  <c r="C363" i="1" s="1"/>
  <c r="B131" i="1"/>
  <c r="B135" i="1" s="1"/>
  <c r="B139" i="1" s="1"/>
  <c r="B143" i="1" s="1"/>
  <c r="B147" i="1" s="1"/>
  <c r="B151" i="1" s="1"/>
  <c r="B155" i="1" s="1"/>
  <c r="B159" i="1" s="1"/>
  <c r="B163" i="1" s="1"/>
  <c r="B167" i="1" s="1"/>
  <c r="B171" i="1" s="1"/>
  <c r="B175" i="1" s="1"/>
  <c r="B179" i="1" s="1"/>
  <c r="B183" i="1" s="1"/>
  <c r="B187" i="1" s="1"/>
  <c r="B191" i="1" s="1"/>
  <c r="B195" i="1" s="1"/>
  <c r="B199" i="1" s="1"/>
  <c r="B203" i="1" s="1"/>
  <c r="B207" i="1" s="1"/>
  <c r="B211" i="1" s="1"/>
  <c r="B215" i="1" s="1"/>
  <c r="B219" i="1" s="1"/>
  <c r="B223" i="1" s="1"/>
  <c r="B227" i="1" s="1"/>
  <c r="B231" i="1" s="1"/>
  <c r="B235" i="1" s="1"/>
  <c r="B239" i="1" s="1"/>
  <c r="B243" i="1" s="1"/>
  <c r="B247" i="1" s="1"/>
  <c r="B251" i="1" s="1"/>
  <c r="B255" i="1" s="1"/>
  <c r="B259" i="1" s="1"/>
  <c r="B263" i="1" s="1"/>
  <c r="B267" i="1" s="1"/>
  <c r="B271" i="1" s="1"/>
  <c r="B275" i="1" s="1"/>
  <c r="B279" i="1" s="1"/>
  <c r="B283" i="1" s="1"/>
  <c r="B287" i="1" s="1"/>
  <c r="B291" i="1" s="1"/>
  <c r="B295" i="1" s="1"/>
  <c r="B299" i="1" s="1"/>
  <c r="B303" i="1" s="1"/>
  <c r="B307" i="1" s="1"/>
  <c r="B311" i="1" s="1"/>
  <c r="B315" i="1" s="1"/>
  <c r="B319" i="1" s="1"/>
  <c r="B323" i="1" s="1"/>
  <c r="B327" i="1" s="1"/>
  <c r="B331" i="1" s="1"/>
  <c r="B335" i="1" s="1"/>
  <c r="B339" i="1" s="1"/>
  <c r="B343" i="1" s="1"/>
  <c r="B347" i="1" s="1"/>
  <c r="B351" i="1" s="1"/>
  <c r="B355" i="1" s="1"/>
  <c r="B359" i="1" s="1"/>
  <c r="B363" i="1" s="1"/>
  <c r="E130" i="1"/>
  <c r="E134" i="1" s="1"/>
  <c r="E138" i="1" s="1"/>
  <c r="E142" i="1" s="1"/>
  <c r="E146" i="1" s="1"/>
  <c r="E150" i="1" s="1"/>
  <c r="E154" i="1" s="1"/>
  <c r="E158" i="1" s="1"/>
  <c r="E162" i="1" s="1"/>
  <c r="E166" i="1" s="1"/>
  <c r="E170" i="1" s="1"/>
  <c r="E174" i="1" s="1"/>
  <c r="E178" i="1" s="1"/>
  <c r="E182" i="1" s="1"/>
  <c r="E186" i="1" s="1"/>
  <c r="E190" i="1" s="1"/>
  <c r="E194" i="1" s="1"/>
  <c r="E198" i="1" s="1"/>
  <c r="E202" i="1" s="1"/>
  <c r="E206" i="1" s="1"/>
  <c r="E210" i="1" s="1"/>
  <c r="E214" i="1" s="1"/>
  <c r="E218" i="1" s="1"/>
  <c r="E222" i="1" s="1"/>
  <c r="E226" i="1" s="1"/>
  <c r="E230" i="1" s="1"/>
  <c r="E234" i="1" s="1"/>
  <c r="E238" i="1" s="1"/>
  <c r="E242" i="1" s="1"/>
  <c r="E246" i="1" s="1"/>
  <c r="E250" i="1" s="1"/>
  <c r="E254" i="1" s="1"/>
  <c r="E258" i="1" s="1"/>
  <c r="E262" i="1" s="1"/>
  <c r="E266" i="1" s="1"/>
  <c r="E270" i="1" s="1"/>
  <c r="E274" i="1" s="1"/>
  <c r="E278" i="1" s="1"/>
  <c r="E282" i="1" s="1"/>
  <c r="E286" i="1" s="1"/>
  <c r="E290" i="1" s="1"/>
  <c r="E294" i="1" s="1"/>
  <c r="E298" i="1" s="1"/>
  <c r="E302" i="1" s="1"/>
  <c r="E306" i="1" s="1"/>
  <c r="E310" i="1" s="1"/>
  <c r="E314" i="1" s="1"/>
  <c r="E318" i="1" s="1"/>
  <c r="E322" i="1" s="1"/>
  <c r="E326" i="1" s="1"/>
  <c r="E330" i="1" s="1"/>
  <c r="E334" i="1" s="1"/>
  <c r="E338" i="1" s="1"/>
  <c r="E342" i="1" s="1"/>
  <c r="E346" i="1" s="1"/>
  <c r="E350" i="1" s="1"/>
  <c r="E354" i="1" s="1"/>
  <c r="E358" i="1" s="1"/>
  <c r="E362" i="1" s="1"/>
  <c r="D130" i="1"/>
  <c r="D134" i="1" s="1"/>
  <c r="D138" i="1" s="1"/>
  <c r="D142" i="1" s="1"/>
  <c r="D146" i="1" s="1"/>
  <c r="D150" i="1" s="1"/>
  <c r="D154" i="1" s="1"/>
  <c r="D158" i="1" s="1"/>
  <c r="D162" i="1" s="1"/>
  <c r="D166" i="1" s="1"/>
  <c r="D170" i="1" s="1"/>
  <c r="D174" i="1" s="1"/>
  <c r="D178" i="1" s="1"/>
  <c r="D182" i="1" s="1"/>
  <c r="D186" i="1" s="1"/>
  <c r="D190" i="1" s="1"/>
  <c r="D194" i="1" s="1"/>
  <c r="D198" i="1" s="1"/>
  <c r="D202" i="1" s="1"/>
  <c r="D206" i="1" s="1"/>
  <c r="D210" i="1" s="1"/>
  <c r="D214" i="1" s="1"/>
  <c r="D218" i="1" s="1"/>
  <c r="D222" i="1" s="1"/>
  <c r="D226" i="1" s="1"/>
  <c r="D230" i="1" s="1"/>
  <c r="D234" i="1" s="1"/>
  <c r="D238" i="1" s="1"/>
  <c r="D242" i="1" s="1"/>
  <c r="D246" i="1" s="1"/>
  <c r="D250" i="1" s="1"/>
  <c r="D254" i="1" s="1"/>
  <c r="D258" i="1" s="1"/>
  <c r="D262" i="1" s="1"/>
  <c r="D266" i="1" s="1"/>
  <c r="D270" i="1" s="1"/>
  <c r="D274" i="1" s="1"/>
  <c r="D278" i="1" s="1"/>
  <c r="D282" i="1" s="1"/>
  <c r="D286" i="1" s="1"/>
  <c r="D290" i="1" s="1"/>
  <c r="D294" i="1" s="1"/>
  <c r="D298" i="1" s="1"/>
  <c r="D302" i="1" s="1"/>
  <c r="D306" i="1" s="1"/>
  <c r="D310" i="1" s="1"/>
  <c r="D314" i="1" s="1"/>
  <c r="D318" i="1" s="1"/>
  <c r="D322" i="1" s="1"/>
  <c r="D326" i="1" s="1"/>
  <c r="D330" i="1" s="1"/>
  <c r="D334" i="1" s="1"/>
  <c r="D338" i="1" s="1"/>
  <c r="D342" i="1" s="1"/>
  <c r="D346" i="1" s="1"/>
  <c r="D350" i="1" s="1"/>
  <c r="D354" i="1" s="1"/>
  <c r="D358" i="1" s="1"/>
  <c r="D362" i="1" s="1"/>
  <c r="C130" i="1"/>
  <c r="C134" i="1" s="1"/>
  <c r="C138" i="1" s="1"/>
  <c r="C142" i="1" s="1"/>
  <c r="C146" i="1" s="1"/>
  <c r="C150" i="1" s="1"/>
  <c r="C154" i="1" s="1"/>
  <c r="C158" i="1" s="1"/>
  <c r="C162" i="1" s="1"/>
  <c r="C166" i="1" s="1"/>
  <c r="C170" i="1" s="1"/>
  <c r="C174" i="1" s="1"/>
  <c r="C178" i="1" s="1"/>
  <c r="C182" i="1" s="1"/>
  <c r="C186" i="1" s="1"/>
  <c r="C190" i="1" s="1"/>
  <c r="C194" i="1" s="1"/>
  <c r="C198" i="1" s="1"/>
  <c r="C202" i="1" s="1"/>
  <c r="C206" i="1" s="1"/>
  <c r="C210" i="1" s="1"/>
  <c r="C214" i="1" s="1"/>
  <c r="C218" i="1" s="1"/>
  <c r="C222" i="1" s="1"/>
  <c r="C226" i="1" s="1"/>
  <c r="C230" i="1" s="1"/>
  <c r="C234" i="1" s="1"/>
  <c r="C238" i="1" s="1"/>
  <c r="C242" i="1" s="1"/>
  <c r="C246" i="1" s="1"/>
  <c r="C250" i="1" s="1"/>
  <c r="C254" i="1" s="1"/>
  <c r="C258" i="1" s="1"/>
  <c r="C262" i="1" s="1"/>
  <c r="C266" i="1" s="1"/>
  <c r="C270" i="1" s="1"/>
  <c r="C274" i="1" s="1"/>
  <c r="C278" i="1" s="1"/>
  <c r="C282" i="1" s="1"/>
  <c r="C286" i="1" s="1"/>
  <c r="C290" i="1" s="1"/>
  <c r="C294" i="1" s="1"/>
  <c r="C298" i="1" s="1"/>
  <c r="C302" i="1" s="1"/>
  <c r="C306" i="1" s="1"/>
  <c r="C310" i="1" s="1"/>
  <c r="C314" i="1" s="1"/>
  <c r="C318" i="1" s="1"/>
  <c r="C322" i="1" s="1"/>
  <c r="C326" i="1" s="1"/>
  <c r="C330" i="1" s="1"/>
  <c r="C334" i="1" s="1"/>
  <c r="C338" i="1" s="1"/>
  <c r="C342" i="1" s="1"/>
  <c r="C346" i="1" s="1"/>
  <c r="C350" i="1" s="1"/>
  <c r="C354" i="1" s="1"/>
  <c r="C358" i="1" s="1"/>
  <c r="C362" i="1" s="1"/>
  <c r="B130" i="1"/>
  <c r="B134" i="1" s="1"/>
  <c r="B138" i="1" s="1"/>
  <c r="B142" i="1" s="1"/>
  <c r="B146" i="1" s="1"/>
  <c r="B150" i="1" s="1"/>
  <c r="B154" i="1" s="1"/>
  <c r="B158" i="1" s="1"/>
  <c r="B162" i="1" s="1"/>
  <c r="B166" i="1" s="1"/>
  <c r="B170" i="1" s="1"/>
  <c r="B174" i="1" s="1"/>
  <c r="B178" i="1" s="1"/>
  <c r="B182" i="1" s="1"/>
  <c r="B186" i="1" s="1"/>
  <c r="B190" i="1" s="1"/>
  <c r="B194" i="1" s="1"/>
  <c r="B198" i="1" s="1"/>
  <c r="B202" i="1" s="1"/>
  <c r="B206" i="1" s="1"/>
  <c r="B210" i="1" s="1"/>
  <c r="B214" i="1" s="1"/>
  <c r="B218" i="1" s="1"/>
  <c r="B222" i="1" s="1"/>
  <c r="B226" i="1" s="1"/>
  <c r="B230" i="1" s="1"/>
  <c r="B234" i="1" s="1"/>
  <c r="B238" i="1" s="1"/>
  <c r="B242" i="1" s="1"/>
  <c r="B246" i="1" s="1"/>
  <c r="B250" i="1" s="1"/>
  <c r="B254" i="1" s="1"/>
  <c r="B258" i="1" s="1"/>
  <c r="B262" i="1" s="1"/>
  <c r="B266" i="1" s="1"/>
  <c r="B270" i="1" s="1"/>
  <c r="B274" i="1" s="1"/>
  <c r="B278" i="1" s="1"/>
  <c r="B282" i="1" s="1"/>
  <c r="B286" i="1" s="1"/>
  <c r="B290" i="1" s="1"/>
  <c r="B294" i="1" s="1"/>
  <c r="B298" i="1" s="1"/>
  <c r="B302" i="1" s="1"/>
  <c r="B306" i="1" s="1"/>
  <c r="B310" i="1" s="1"/>
  <c r="B314" i="1" s="1"/>
  <c r="B318" i="1" s="1"/>
  <c r="B322" i="1" s="1"/>
  <c r="B326" i="1" s="1"/>
  <c r="B330" i="1" s="1"/>
  <c r="B334" i="1" s="1"/>
  <c r="B338" i="1" s="1"/>
  <c r="B342" i="1" s="1"/>
  <c r="B346" i="1" s="1"/>
  <c r="B350" i="1" s="1"/>
  <c r="B354" i="1" s="1"/>
  <c r="B358" i="1" s="1"/>
  <c r="B362" i="1" s="1"/>
  <c r="E129" i="1"/>
  <c r="E133" i="1" s="1"/>
  <c r="E137" i="1" s="1"/>
  <c r="E141" i="1" s="1"/>
  <c r="E145" i="1" s="1"/>
  <c r="E149" i="1" s="1"/>
  <c r="E153" i="1" s="1"/>
  <c r="E157" i="1" s="1"/>
  <c r="E161" i="1" s="1"/>
  <c r="E165" i="1" s="1"/>
  <c r="E169" i="1" s="1"/>
  <c r="E173" i="1" s="1"/>
  <c r="E177" i="1" s="1"/>
  <c r="E181" i="1" s="1"/>
  <c r="E185" i="1" s="1"/>
  <c r="E189" i="1" s="1"/>
  <c r="E193" i="1" s="1"/>
  <c r="E197" i="1" s="1"/>
  <c r="E201" i="1" s="1"/>
  <c r="E205" i="1" s="1"/>
  <c r="E209" i="1" s="1"/>
  <c r="E213" i="1" s="1"/>
  <c r="E217" i="1" s="1"/>
  <c r="E221" i="1" s="1"/>
  <c r="E225" i="1" s="1"/>
  <c r="E229" i="1" s="1"/>
  <c r="E233" i="1" s="1"/>
  <c r="E237" i="1" s="1"/>
  <c r="E241" i="1" s="1"/>
  <c r="E245" i="1" s="1"/>
  <c r="E249" i="1" s="1"/>
  <c r="E253" i="1" s="1"/>
  <c r="E257" i="1" s="1"/>
  <c r="E261" i="1" s="1"/>
  <c r="E265" i="1" s="1"/>
  <c r="E269" i="1" s="1"/>
  <c r="E273" i="1" s="1"/>
  <c r="E277" i="1" s="1"/>
  <c r="E281" i="1" s="1"/>
  <c r="E285" i="1" s="1"/>
  <c r="E289" i="1" s="1"/>
  <c r="E293" i="1" s="1"/>
  <c r="E297" i="1" s="1"/>
  <c r="E301" i="1" s="1"/>
  <c r="E305" i="1" s="1"/>
  <c r="E309" i="1" s="1"/>
  <c r="E313" i="1" s="1"/>
  <c r="E317" i="1" s="1"/>
  <c r="E321" i="1" s="1"/>
  <c r="E325" i="1" s="1"/>
  <c r="E329" i="1" s="1"/>
  <c r="E333" i="1" s="1"/>
  <c r="E337" i="1" s="1"/>
  <c r="E341" i="1" s="1"/>
  <c r="E345" i="1" s="1"/>
  <c r="E349" i="1" s="1"/>
  <c r="E353" i="1" s="1"/>
  <c r="E357" i="1" s="1"/>
  <c r="E361" i="1" s="1"/>
  <c r="E365" i="1" s="1"/>
  <c r="D129" i="1"/>
  <c r="D133" i="1" s="1"/>
  <c r="D137" i="1" s="1"/>
  <c r="D141" i="1" s="1"/>
  <c r="D145" i="1" s="1"/>
  <c r="D149" i="1" s="1"/>
  <c r="D153" i="1" s="1"/>
  <c r="D157" i="1" s="1"/>
  <c r="D161" i="1" s="1"/>
  <c r="D165" i="1" s="1"/>
  <c r="D169" i="1" s="1"/>
  <c r="D173" i="1" s="1"/>
  <c r="D177" i="1" s="1"/>
  <c r="D181" i="1" s="1"/>
  <c r="D185" i="1" s="1"/>
  <c r="D189" i="1" s="1"/>
  <c r="D193" i="1" s="1"/>
  <c r="D197" i="1" s="1"/>
  <c r="D201" i="1" s="1"/>
  <c r="D205" i="1" s="1"/>
  <c r="D209" i="1" s="1"/>
  <c r="D213" i="1" s="1"/>
  <c r="D217" i="1" s="1"/>
  <c r="D221" i="1" s="1"/>
  <c r="D225" i="1" s="1"/>
  <c r="D229" i="1" s="1"/>
  <c r="D233" i="1" s="1"/>
  <c r="D237" i="1" s="1"/>
  <c r="D241" i="1" s="1"/>
  <c r="D245" i="1" s="1"/>
  <c r="D249" i="1" s="1"/>
  <c r="D253" i="1" s="1"/>
  <c r="D257" i="1" s="1"/>
  <c r="D261" i="1" s="1"/>
  <c r="D265" i="1" s="1"/>
  <c r="D269" i="1" s="1"/>
  <c r="D273" i="1" s="1"/>
  <c r="D277" i="1" s="1"/>
  <c r="D281" i="1" s="1"/>
  <c r="D285" i="1" s="1"/>
  <c r="D289" i="1" s="1"/>
  <c r="D293" i="1" s="1"/>
  <c r="D297" i="1" s="1"/>
  <c r="D301" i="1" s="1"/>
  <c r="D305" i="1" s="1"/>
  <c r="D309" i="1" s="1"/>
  <c r="D313" i="1" s="1"/>
  <c r="D317" i="1" s="1"/>
  <c r="D321" i="1" s="1"/>
  <c r="D325" i="1" s="1"/>
  <c r="D329" i="1" s="1"/>
  <c r="D333" i="1" s="1"/>
  <c r="D337" i="1" s="1"/>
  <c r="D341" i="1" s="1"/>
  <c r="D345" i="1" s="1"/>
  <c r="D349" i="1" s="1"/>
  <c r="D353" i="1" s="1"/>
  <c r="D357" i="1" s="1"/>
  <c r="D361" i="1" s="1"/>
  <c r="D365" i="1" s="1"/>
  <c r="C129" i="1"/>
  <c r="C133" i="1" s="1"/>
  <c r="C137" i="1" s="1"/>
  <c r="C141" i="1" s="1"/>
  <c r="C145" i="1" s="1"/>
  <c r="C149" i="1" s="1"/>
  <c r="C153" i="1" s="1"/>
  <c r="C157" i="1" s="1"/>
  <c r="C161" i="1" s="1"/>
  <c r="C165" i="1" s="1"/>
  <c r="C169" i="1" s="1"/>
  <c r="C173" i="1" s="1"/>
  <c r="C177" i="1" s="1"/>
  <c r="C181" i="1" s="1"/>
  <c r="C185" i="1" s="1"/>
  <c r="C189" i="1" s="1"/>
  <c r="C193" i="1" s="1"/>
  <c r="C197" i="1" s="1"/>
  <c r="C201" i="1" s="1"/>
  <c r="C205" i="1" s="1"/>
  <c r="C209" i="1" s="1"/>
  <c r="C213" i="1" s="1"/>
  <c r="C217" i="1" s="1"/>
  <c r="C221" i="1" s="1"/>
  <c r="C225" i="1" s="1"/>
  <c r="C229" i="1" s="1"/>
  <c r="C233" i="1" s="1"/>
  <c r="C237" i="1" s="1"/>
  <c r="C241" i="1" s="1"/>
  <c r="C245" i="1" s="1"/>
  <c r="C249" i="1" s="1"/>
  <c r="C253" i="1" s="1"/>
  <c r="C257" i="1" s="1"/>
  <c r="C261" i="1" s="1"/>
  <c r="C265" i="1" s="1"/>
  <c r="C269" i="1" s="1"/>
  <c r="C273" i="1" s="1"/>
  <c r="C277" i="1" s="1"/>
  <c r="C281" i="1" s="1"/>
  <c r="C285" i="1" s="1"/>
  <c r="C289" i="1" s="1"/>
  <c r="C293" i="1" s="1"/>
  <c r="C297" i="1" s="1"/>
  <c r="C301" i="1" s="1"/>
  <c r="C305" i="1" s="1"/>
  <c r="C309" i="1" s="1"/>
  <c r="C313" i="1" s="1"/>
  <c r="C317" i="1" s="1"/>
  <c r="C321" i="1" s="1"/>
  <c r="C325" i="1" s="1"/>
  <c r="C329" i="1" s="1"/>
  <c r="C333" i="1" s="1"/>
  <c r="C337" i="1" s="1"/>
  <c r="C341" i="1" s="1"/>
  <c r="C345" i="1" s="1"/>
  <c r="C349" i="1" s="1"/>
  <c r="C353" i="1" s="1"/>
  <c r="C357" i="1" s="1"/>
  <c r="C361" i="1" s="1"/>
  <c r="C365" i="1" s="1"/>
  <c r="B129" i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B205" i="1" s="1"/>
  <c r="B209" i="1" s="1"/>
  <c r="B213" i="1" s="1"/>
  <c r="B217" i="1" s="1"/>
  <c r="B221" i="1" s="1"/>
  <c r="B225" i="1" s="1"/>
  <c r="B229" i="1" s="1"/>
  <c r="B233" i="1" s="1"/>
  <c r="B237" i="1" s="1"/>
  <c r="B241" i="1" s="1"/>
  <c r="B245" i="1" s="1"/>
  <c r="B249" i="1" s="1"/>
  <c r="B253" i="1" s="1"/>
  <c r="B257" i="1" s="1"/>
  <c r="B261" i="1" s="1"/>
  <c r="B265" i="1" s="1"/>
  <c r="B269" i="1" s="1"/>
  <c r="B273" i="1" s="1"/>
  <c r="B277" i="1" s="1"/>
  <c r="B281" i="1" s="1"/>
  <c r="B285" i="1" s="1"/>
  <c r="B289" i="1" s="1"/>
  <c r="B293" i="1" s="1"/>
  <c r="B297" i="1" s="1"/>
  <c r="B301" i="1" s="1"/>
  <c r="B305" i="1" s="1"/>
  <c r="B309" i="1" s="1"/>
  <c r="B313" i="1" s="1"/>
  <c r="B317" i="1" s="1"/>
  <c r="B321" i="1" s="1"/>
  <c r="B325" i="1" s="1"/>
  <c r="B329" i="1" s="1"/>
  <c r="B333" i="1" s="1"/>
  <c r="B337" i="1" s="1"/>
  <c r="B341" i="1" s="1"/>
  <c r="B345" i="1" s="1"/>
  <c r="B349" i="1" s="1"/>
  <c r="B353" i="1" s="1"/>
  <c r="B357" i="1" s="1"/>
  <c r="B361" i="1" s="1"/>
  <c r="B365" i="1" s="1"/>
  <c r="A129" i="1"/>
  <c r="A133" i="1" s="1"/>
  <c r="A137" i="1" s="1"/>
  <c r="A141" i="1" s="1"/>
  <c r="A145" i="1" s="1"/>
  <c r="A149" i="1" s="1"/>
  <c r="A153" i="1" s="1"/>
  <c r="A157" i="1" s="1"/>
  <c r="A161" i="1" s="1"/>
  <c r="A165" i="1" s="1"/>
  <c r="A169" i="1" s="1"/>
  <c r="A173" i="1" s="1"/>
  <c r="A177" i="1" s="1"/>
  <c r="A181" i="1" s="1"/>
  <c r="A185" i="1" s="1"/>
  <c r="A189" i="1" s="1"/>
  <c r="A193" i="1" s="1"/>
  <c r="A197" i="1" s="1"/>
  <c r="A201" i="1" s="1"/>
  <c r="A205" i="1" s="1"/>
  <c r="A209" i="1" s="1"/>
  <c r="A213" i="1" s="1"/>
  <c r="A217" i="1" s="1"/>
  <c r="A221" i="1" s="1"/>
  <c r="A225" i="1" s="1"/>
  <c r="A229" i="1" s="1"/>
  <c r="A233" i="1" s="1"/>
  <c r="A237" i="1" s="1"/>
  <c r="A241" i="1" s="1"/>
  <c r="A245" i="1" s="1"/>
  <c r="A249" i="1" s="1"/>
  <c r="A253" i="1" s="1"/>
  <c r="A257" i="1" s="1"/>
  <c r="A261" i="1" s="1"/>
  <c r="A265" i="1" s="1"/>
  <c r="A269" i="1" s="1"/>
  <c r="A273" i="1" s="1"/>
  <c r="A277" i="1" s="1"/>
  <c r="A281" i="1" s="1"/>
  <c r="A285" i="1" s="1"/>
  <c r="A289" i="1" s="1"/>
  <c r="A293" i="1" s="1"/>
  <c r="A297" i="1" s="1"/>
  <c r="A301" i="1" s="1"/>
  <c r="A305" i="1" s="1"/>
  <c r="A309" i="1" s="1"/>
  <c r="A313" i="1" s="1"/>
  <c r="A317" i="1" s="1"/>
  <c r="A321" i="1" s="1"/>
  <c r="A325" i="1" s="1"/>
  <c r="A329" i="1" s="1"/>
  <c r="A333" i="1" s="1"/>
  <c r="A337" i="1" s="1"/>
  <c r="A341" i="1" s="1"/>
  <c r="A345" i="1" s="1"/>
  <c r="A349" i="1" s="1"/>
  <c r="A353" i="1" s="1"/>
  <c r="A357" i="1" s="1"/>
  <c r="A361" i="1" s="1"/>
  <c r="A365" i="1" s="1"/>
  <c r="E118" i="1"/>
  <c r="E120" i="1" s="1"/>
  <c r="E122" i="1" s="1"/>
  <c r="E124" i="1" s="1"/>
  <c r="A116" i="1"/>
  <c r="A118" i="1" s="1"/>
  <c r="A120" i="1" s="1"/>
  <c r="A122" i="1" s="1"/>
  <c r="A124" i="1" s="1"/>
  <c r="A126" i="1" s="1"/>
  <c r="A130" i="1" l="1"/>
  <c r="A134" i="1" s="1"/>
  <c r="A138" i="1" s="1"/>
  <c r="A142" i="1" s="1"/>
  <c r="A146" i="1" s="1"/>
  <c r="A150" i="1" s="1"/>
  <c r="A154" i="1" s="1"/>
  <c r="A158" i="1" s="1"/>
  <c r="A162" i="1" s="1"/>
  <c r="A166" i="1" s="1"/>
  <c r="A170" i="1" s="1"/>
  <c r="A174" i="1" s="1"/>
  <c r="A178" i="1" s="1"/>
  <c r="A182" i="1" s="1"/>
  <c r="A186" i="1" s="1"/>
  <c r="A190" i="1" s="1"/>
  <c r="A194" i="1" s="1"/>
  <c r="A198" i="1" s="1"/>
  <c r="A202" i="1" s="1"/>
  <c r="A206" i="1" s="1"/>
  <c r="A210" i="1" s="1"/>
  <c r="A214" i="1" s="1"/>
  <c r="A218" i="1" s="1"/>
  <c r="A222" i="1" s="1"/>
  <c r="A226" i="1" s="1"/>
  <c r="A230" i="1" s="1"/>
  <c r="A234" i="1" s="1"/>
  <c r="A238" i="1" s="1"/>
  <c r="A242" i="1" s="1"/>
  <c r="A246" i="1" s="1"/>
  <c r="A250" i="1" s="1"/>
  <c r="A254" i="1" s="1"/>
  <c r="A258" i="1" s="1"/>
  <c r="A262" i="1" s="1"/>
  <c r="A266" i="1" s="1"/>
  <c r="A270" i="1" s="1"/>
  <c r="A274" i="1" s="1"/>
  <c r="A278" i="1" s="1"/>
  <c r="A282" i="1" s="1"/>
  <c r="A286" i="1" s="1"/>
  <c r="A290" i="1" s="1"/>
  <c r="A294" i="1" s="1"/>
  <c r="A298" i="1" s="1"/>
  <c r="A302" i="1" s="1"/>
  <c r="A306" i="1" s="1"/>
  <c r="A310" i="1" s="1"/>
  <c r="A314" i="1" s="1"/>
  <c r="A318" i="1" s="1"/>
  <c r="A322" i="1" s="1"/>
  <c r="A326" i="1" s="1"/>
  <c r="A330" i="1" s="1"/>
  <c r="A334" i="1" s="1"/>
  <c r="A338" i="1" s="1"/>
  <c r="A342" i="1" s="1"/>
  <c r="A346" i="1" s="1"/>
  <c r="A350" i="1" s="1"/>
  <c r="A354" i="1" s="1"/>
  <c r="A358" i="1" s="1"/>
  <c r="A362" i="1" s="1"/>
  <c r="A127" i="1"/>
  <c r="A131" i="1" l="1"/>
  <c r="A135" i="1" s="1"/>
  <c r="A139" i="1" s="1"/>
  <c r="A143" i="1" s="1"/>
  <c r="A147" i="1" s="1"/>
  <c r="A151" i="1" s="1"/>
  <c r="A155" i="1" s="1"/>
  <c r="A159" i="1" s="1"/>
  <c r="A163" i="1" s="1"/>
  <c r="A167" i="1" s="1"/>
  <c r="A171" i="1" s="1"/>
  <c r="A175" i="1" s="1"/>
  <c r="A179" i="1" s="1"/>
  <c r="A183" i="1" s="1"/>
  <c r="A187" i="1" s="1"/>
  <c r="A191" i="1" s="1"/>
  <c r="A195" i="1" s="1"/>
  <c r="A199" i="1" s="1"/>
  <c r="A203" i="1" s="1"/>
  <c r="A207" i="1" s="1"/>
  <c r="A211" i="1" s="1"/>
  <c r="A215" i="1" s="1"/>
  <c r="A219" i="1" s="1"/>
  <c r="A223" i="1" s="1"/>
  <c r="A227" i="1" s="1"/>
  <c r="A231" i="1" s="1"/>
  <c r="A235" i="1" s="1"/>
  <c r="A239" i="1" s="1"/>
  <c r="A243" i="1" s="1"/>
  <c r="A247" i="1" s="1"/>
  <c r="A251" i="1" s="1"/>
  <c r="A255" i="1" s="1"/>
  <c r="A259" i="1" s="1"/>
  <c r="A263" i="1" s="1"/>
  <c r="A267" i="1" s="1"/>
  <c r="A271" i="1" s="1"/>
  <c r="A275" i="1" s="1"/>
  <c r="A279" i="1" s="1"/>
  <c r="A283" i="1" s="1"/>
  <c r="A287" i="1" s="1"/>
  <c r="A291" i="1" s="1"/>
  <c r="A295" i="1" s="1"/>
  <c r="A299" i="1" s="1"/>
  <c r="A303" i="1" s="1"/>
  <c r="A307" i="1" s="1"/>
  <c r="A311" i="1" s="1"/>
  <c r="A315" i="1" s="1"/>
  <c r="A319" i="1" s="1"/>
  <c r="A323" i="1" s="1"/>
  <c r="A327" i="1" s="1"/>
  <c r="A331" i="1" s="1"/>
  <c r="A335" i="1" s="1"/>
  <c r="A339" i="1" s="1"/>
  <c r="A343" i="1" s="1"/>
  <c r="A347" i="1" s="1"/>
  <c r="A351" i="1" s="1"/>
  <c r="A355" i="1" s="1"/>
  <c r="A359" i="1" s="1"/>
  <c r="A363" i="1" s="1"/>
  <c r="A128" i="1"/>
  <c r="A132" i="1" s="1"/>
  <c r="A136" i="1" s="1"/>
  <c r="A140" i="1" s="1"/>
  <c r="A144" i="1" s="1"/>
  <c r="A148" i="1" s="1"/>
  <c r="A152" i="1" s="1"/>
  <c r="A156" i="1" s="1"/>
  <c r="A160" i="1" s="1"/>
  <c r="A164" i="1" s="1"/>
  <c r="A168" i="1" s="1"/>
  <c r="A172" i="1" s="1"/>
  <c r="A176" i="1" s="1"/>
  <c r="A180" i="1" s="1"/>
  <c r="A184" i="1" s="1"/>
  <c r="A188" i="1" s="1"/>
  <c r="A192" i="1" s="1"/>
  <c r="A196" i="1" s="1"/>
  <c r="A200" i="1" s="1"/>
  <c r="A204" i="1" s="1"/>
  <c r="A208" i="1" s="1"/>
  <c r="A212" i="1" s="1"/>
  <c r="A216" i="1" s="1"/>
  <c r="A220" i="1" s="1"/>
  <c r="A224" i="1" s="1"/>
  <c r="A228" i="1" s="1"/>
  <c r="A232" i="1" s="1"/>
  <c r="A236" i="1" s="1"/>
  <c r="A240" i="1" s="1"/>
  <c r="A244" i="1" s="1"/>
  <c r="A248" i="1" s="1"/>
  <c r="A252" i="1" s="1"/>
  <c r="A256" i="1" s="1"/>
  <c r="A260" i="1" s="1"/>
  <c r="A264" i="1" s="1"/>
  <c r="A268" i="1" s="1"/>
  <c r="A272" i="1" s="1"/>
  <c r="A276" i="1" s="1"/>
  <c r="A280" i="1" s="1"/>
  <c r="A284" i="1" s="1"/>
  <c r="A288" i="1" s="1"/>
  <c r="A292" i="1" s="1"/>
  <c r="A296" i="1" s="1"/>
  <c r="A300" i="1" s="1"/>
  <c r="A304" i="1" s="1"/>
  <c r="A308" i="1" s="1"/>
  <c r="A312" i="1" s="1"/>
  <c r="A316" i="1" s="1"/>
  <c r="A320" i="1" s="1"/>
  <c r="A324" i="1" s="1"/>
  <c r="A328" i="1" s="1"/>
  <c r="A332" i="1" s="1"/>
  <c r="A336" i="1" s="1"/>
  <c r="A340" i="1" s="1"/>
  <c r="A344" i="1" s="1"/>
  <c r="A348" i="1" s="1"/>
  <c r="A352" i="1" s="1"/>
  <c r="A356" i="1" s="1"/>
  <c r="A360" i="1" s="1"/>
  <c r="A364" i="1" s="1"/>
</calcChain>
</file>

<file path=xl/sharedStrings.xml><?xml version="1.0" encoding="utf-8"?>
<sst xmlns="http://schemas.openxmlformats.org/spreadsheetml/2006/main" count="1043" uniqueCount="28">
  <si>
    <t>年月日</t>
  </si>
  <si>
    <t>口座</t>
  </si>
  <si>
    <t>商品名</t>
  </si>
  <si>
    <t>アセット</t>
  </si>
  <si>
    <t>価格</t>
  </si>
  <si>
    <t>備考</t>
  </si>
  <si>
    <r>
      <rPr>
        <sz val="11"/>
        <color rgb="FF000000"/>
        <rFont val="游ゴシック"/>
        <family val="2"/>
        <charset val="128"/>
      </rPr>
      <t>ニッセイ日経</t>
    </r>
    <r>
      <rPr>
        <sz val="11"/>
        <color rgb="FF000000"/>
        <rFont val="Calibri"/>
        <family val="2"/>
        <charset val="1"/>
      </rPr>
      <t>225</t>
    </r>
    <r>
      <rPr>
        <sz val="11"/>
        <color rgb="FF000000"/>
        <rFont val="游ゴシック"/>
        <family val="2"/>
        <charset val="128"/>
      </rPr>
      <t>インデックスファンド</t>
    </r>
  </si>
  <si>
    <t>国内株式</t>
  </si>
  <si>
    <t>マネフォからの推測</t>
  </si>
  <si>
    <t>ニッセイ外国株式インデックスファンド</t>
  </si>
  <si>
    <t>先進国株式</t>
  </si>
  <si>
    <r>
      <rPr>
        <sz val="11"/>
        <color rgb="FF000000"/>
        <rFont val="Calibri"/>
        <family val="2"/>
        <charset val="1"/>
      </rPr>
      <t xml:space="preserve">eMAXIS Slim </t>
    </r>
    <r>
      <rPr>
        <sz val="11"/>
        <color rgb="FF000000"/>
        <rFont val="游ゴシック"/>
        <family val="2"/>
        <charset val="128"/>
      </rPr>
      <t>先進国株式インデックス</t>
    </r>
  </si>
  <si>
    <r>
      <rPr>
        <sz val="11"/>
        <color rgb="FF000000"/>
        <rFont val="游ゴシック"/>
        <family val="2"/>
        <charset val="128"/>
      </rPr>
      <t>つみたて</t>
    </r>
    <r>
      <rPr>
        <sz val="11"/>
        <color rgb="FF000000"/>
        <rFont val="Calibri"/>
        <family val="2"/>
        <charset val="1"/>
      </rPr>
      <t>NISA</t>
    </r>
  </si>
  <si>
    <r>
      <rPr>
        <sz val="11"/>
        <color rgb="FF000000"/>
        <rFont val="Calibri"/>
        <family val="2"/>
        <charset val="1"/>
      </rPr>
      <t xml:space="preserve">eMAXIS Slim </t>
    </r>
    <r>
      <rPr>
        <sz val="11"/>
        <color rgb="FF000000"/>
        <rFont val="游ゴシック"/>
        <family val="2"/>
        <charset val="128"/>
      </rPr>
      <t>バランス</t>
    </r>
    <r>
      <rPr>
        <sz val="11"/>
        <color rgb="FF000000"/>
        <rFont val="Calibri"/>
        <family val="2"/>
        <charset val="1"/>
      </rPr>
      <t>(</t>
    </r>
    <r>
      <rPr>
        <sz val="11"/>
        <color rgb="FF000000"/>
        <rFont val="游ゴシック"/>
        <family val="2"/>
        <charset val="128"/>
      </rPr>
      <t>８資産均等型</t>
    </r>
    <r>
      <rPr>
        <sz val="11"/>
        <color rgb="FF000000"/>
        <rFont val="Calibri"/>
        <family val="2"/>
        <charset val="1"/>
      </rPr>
      <t>)</t>
    </r>
  </si>
  <si>
    <t>バランス</t>
  </si>
  <si>
    <r>
      <rPr>
        <sz val="11"/>
        <color rgb="FF000000"/>
        <rFont val="Calibri"/>
        <family val="2"/>
        <charset val="1"/>
      </rPr>
      <t xml:space="preserve">eMAXIS Slim </t>
    </r>
    <r>
      <rPr>
        <sz val="11"/>
        <color rgb="FF000000"/>
        <rFont val="游ゴシック"/>
        <family val="2"/>
        <charset val="128"/>
      </rPr>
      <t>全世界株式（オール・カントリー）</t>
    </r>
  </si>
  <si>
    <t>全世界株式</t>
  </si>
  <si>
    <r>
      <rPr>
        <sz val="11"/>
        <color rgb="FF000000"/>
        <rFont val="Calibri"/>
        <family val="2"/>
        <charset val="1"/>
      </rPr>
      <t xml:space="preserve">eMAXIS Slim </t>
    </r>
    <r>
      <rPr>
        <sz val="11"/>
        <color rgb="FF000000"/>
        <rFont val="游ゴシック"/>
        <family val="2"/>
        <charset val="128"/>
      </rPr>
      <t>米国株式（</t>
    </r>
    <r>
      <rPr>
        <sz val="11"/>
        <color rgb="FF000000"/>
        <rFont val="Calibri"/>
        <family val="2"/>
        <charset val="1"/>
      </rPr>
      <t>S&amp;P500</t>
    </r>
    <r>
      <rPr>
        <sz val="11"/>
        <color rgb="FF000000"/>
        <rFont val="游ゴシック"/>
        <family val="2"/>
        <charset val="128"/>
      </rPr>
      <t>）</t>
    </r>
  </si>
  <si>
    <t>米国株式</t>
  </si>
  <si>
    <t>iDeco</t>
  </si>
  <si>
    <t>ＳＢＩ・全世界株式インデックス・ファンド</t>
  </si>
  <si>
    <t>iDeco開始</t>
  </si>
  <si>
    <t>　　</t>
  </si>
  <si>
    <t>NISA(成長)</t>
  </si>
  <si>
    <t>新NISA開始</t>
  </si>
  <si>
    <t>NISA(つみたて)</t>
  </si>
  <si>
    <t>ひふみプラス</t>
  </si>
  <si>
    <t>ひふみ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</si>
</sst>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">
    <font>
      <sz val="11"/>
      <color rgb="FF00000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Calibri"/>
      <family val="2"/>
      <charset val="1"/>
    </font>
    <font>
      <sz val="11"/>
      <color rgb="FF000000"/>
      <name val="Noto Sans CJK JP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76" fontId="1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7"/>
  <sheetViews>
    <sheetView tabSelected="1" topLeftCell="A104" zoomScaleNormal="100" workbookViewId="0">
      <selection activeCell="H112" sqref="H112"/>
    </sheetView>
  </sheetViews>
  <sheetFormatPr defaultColWidth="16.625" defaultRowHeight="15"/>
  <cols>
    <col min="1" max="1" width="17.75" customWidth="1"/>
    <col min="2" max="2" width="19.875" customWidth="1"/>
    <col min="3" max="3" width="43.5" customWidth="1"/>
    <col min="4" max="4" width="17.75" customWidth="1"/>
    <col min="5" max="27" width="10" customWidth="1"/>
  </cols>
  <sheetData>
    <row r="1" spans="1:6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>
      <c r="A2" s="2">
        <v>43056</v>
      </c>
      <c r="B2" s="1"/>
      <c r="C2" s="1" t="s">
        <v>6</v>
      </c>
      <c r="D2" s="1" t="s">
        <v>7</v>
      </c>
      <c r="E2" s="1">
        <v>100000</v>
      </c>
      <c r="F2" s="1" t="s">
        <v>8</v>
      </c>
    </row>
    <row r="3" spans="1:6" ht="18.75" customHeight="1">
      <c r="A3" s="2">
        <v>43060</v>
      </c>
      <c r="B3" s="1"/>
      <c r="C3" s="1" t="s">
        <v>6</v>
      </c>
      <c r="D3" s="1" t="s">
        <v>7</v>
      </c>
      <c r="E3" s="1">
        <v>900000</v>
      </c>
      <c r="F3" s="1" t="s">
        <v>8</v>
      </c>
    </row>
    <row r="4" spans="1:6" ht="18.75" customHeight="1">
      <c r="A4" s="2">
        <v>43063</v>
      </c>
      <c r="B4" s="1"/>
      <c r="C4" s="1" t="s">
        <v>6</v>
      </c>
      <c r="D4" s="1" t="s">
        <v>7</v>
      </c>
      <c r="E4" s="1">
        <v>4000000</v>
      </c>
      <c r="F4" s="1">
        <v>1608558</v>
      </c>
    </row>
    <row r="5" spans="1:6" ht="18.75" customHeight="1">
      <c r="A5" s="2">
        <v>43066</v>
      </c>
      <c r="B5" s="1"/>
      <c r="C5" s="1" t="s">
        <v>9</v>
      </c>
      <c r="D5" s="1" t="s">
        <v>10</v>
      </c>
      <c r="E5" s="1">
        <v>5000000</v>
      </c>
    </row>
    <row r="6" spans="1:6" ht="18.75" customHeight="1">
      <c r="A6" s="3">
        <v>43090</v>
      </c>
      <c r="B6" s="1"/>
      <c r="C6" s="1" t="s">
        <v>9</v>
      </c>
      <c r="D6" s="1" t="s">
        <v>10</v>
      </c>
      <c r="E6" s="1">
        <v>5000000</v>
      </c>
    </row>
    <row r="7" spans="1:6" ht="18.75" customHeight="1">
      <c r="A7" s="3">
        <v>43112</v>
      </c>
      <c r="B7" s="1"/>
      <c r="C7" s="4" t="s">
        <v>11</v>
      </c>
      <c r="D7" s="1" t="s">
        <v>10</v>
      </c>
      <c r="E7" s="1">
        <v>5000000</v>
      </c>
    </row>
    <row r="8" spans="1:6" ht="18.75" customHeight="1">
      <c r="A8" s="3">
        <v>43126</v>
      </c>
      <c r="B8" s="1"/>
      <c r="C8" s="4" t="s">
        <v>11</v>
      </c>
      <c r="D8" s="1" t="s">
        <v>10</v>
      </c>
      <c r="E8" s="1">
        <v>4000000</v>
      </c>
    </row>
    <row r="9" spans="1:6" ht="18.75" customHeight="1">
      <c r="A9" s="3">
        <v>43129</v>
      </c>
      <c r="B9" s="1"/>
      <c r="C9" s="4" t="s">
        <v>11</v>
      </c>
      <c r="D9" s="1" t="s">
        <v>10</v>
      </c>
      <c r="E9" s="1">
        <v>1000000</v>
      </c>
    </row>
    <row r="10" spans="1:6" ht="18.75" customHeight="1">
      <c r="A10" s="3">
        <v>43132</v>
      </c>
      <c r="B10" s="1" t="s">
        <v>12</v>
      </c>
      <c r="C10" s="4" t="s">
        <v>13</v>
      </c>
      <c r="D10" s="1" t="s">
        <v>14</v>
      </c>
      <c r="E10" s="1">
        <v>33333</v>
      </c>
    </row>
    <row r="11" spans="1:6" ht="18.75" customHeight="1">
      <c r="A11" s="3">
        <v>43160</v>
      </c>
      <c r="B11" s="1" t="s">
        <v>12</v>
      </c>
      <c r="C11" s="4" t="s">
        <v>13</v>
      </c>
      <c r="D11" s="1" t="s">
        <v>14</v>
      </c>
      <c r="E11" s="1">
        <v>33333</v>
      </c>
    </row>
    <row r="12" spans="1:6" ht="18.75" customHeight="1">
      <c r="A12" s="3">
        <v>43194</v>
      </c>
      <c r="B12" s="1" t="s">
        <v>12</v>
      </c>
      <c r="C12" s="4" t="s">
        <v>13</v>
      </c>
      <c r="D12" s="1" t="s">
        <v>14</v>
      </c>
      <c r="E12" s="1">
        <v>33333</v>
      </c>
    </row>
    <row r="13" spans="1:6" ht="18.75" customHeight="1">
      <c r="A13" s="3">
        <v>43227</v>
      </c>
      <c r="B13" s="1" t="s">
        <v>12</v>
      </c>
      <c r="C13" s="4" t="s">
        <v>13</v>
      </c>
      <c r="D13" s="1" t="s">
        <v>14</v>
      </c>
      <c r="E13" s="1">
        <v>33333</v>
      </c>
    </row>
    <row r="14" spans="1:6" ht="18.75" customHeight="1">
      <c r="A14" s="3">
        <v>43252</v>
      </c>
      <c r="B14" s="1" t="s">
        <v>12</v>
      </c>
      <c r="C14" s="4" t="s">
        <v>13</v>
      </c>
      <c r="D14" s="1" t="s">
        <v>14</v>
      </c>
      <c r="E14" s="1">
        <v>33333</v>
      </c>
    </row>
    <row r="15" spans="1:6" ht="18.75" customHeight="1">
      <c r="A15" s="3">
        <v>43285</v>
      </c>
      <c r="B15" s="1" t="s">
        <v>12</v>
      </c>
      <c r="C15" s="4" t="s">
        <v>13</v>
      </c>
      <c r="D15" s="1" t="s">
        <v>14</v>
      </c>
      <c r="E15" s="1">
        <v>33333</v>
      </c>
    </row>
    <row r="16" spans="1:6" ht="18.75" customHeight="1">
      <c r="A16" s="3">
        <v>43313</v>
      </c>
      <c r="B16" s="1" t="s">
        <v>12</v>
      </c>
      <c r="C16" s="4" t="s">
        <v>13</v>
      </c>
      <c r="D16" s="1" t="s">
        <v>14</v>
      </c>
      <c r="E16" s="1">
        <v>33333</v>
      </c>
    </row>
    <row r="17" spans="1:5" ht="18.75" customHeight="1">
      <c r="A17" s="3">
        <v>43346</v>
      </c>
      <c r="B17" s="1" t="s">
        <v>12</v>
      </c>
      <c r="C17" s="4" t="s">
        <v>13</v>
      </c>
      <c r="D17" s="1" t="s">
        <v>14</v>
      </c>
      <c r="E17" s="1">
        <v>33333</v>
      </c>
    </row>
    <row r="18" spans="1:5" ht="18.75" customHeight="1">
      <c r="A18" s="3">
        <v>43376</v>
      </c>
      <c r="B18" s="1" t="s">
        <v>12</v>
      </c>
      <c r="C18" s="4" t="s">
        <v>13</v>
      </c>
      <c r="D18" s="1" t="s">
        <v>14</v>
      </c>
      <c r="E18" s="1">
        <v>33333</v>
      </c>
    </row>
    <row r="19" spans="1:5" ht="18.75" customHeight="1">
      <c r="A19" s="3">
        <v>43405</v>
      </c>
      <c r="B19" s="1" t="s">
        <v>12</v>
      </c>
      <c r="C19" s="4" t="s">
        <v>13</v>
      </c>
      <c r="D19" s="1" t="s">
        <v>14</v>
      </c>
      <c r="E19" s="1">
        <v>33333</v>
      </c>
    </row>
    <row r="20" spans="1:5" ht="18.75" customHeight="1">
      <c r="A20" s="3">
        <v>43437</v>
      </c>
      <c r="B20" s="1" t="s">
        <v>12</v>
      </c>
      <c r="C20" s="4" t="s">
        <v>13</v>
      </c>
      <c r="D20" s="1" t="s">
        <v>14</v>
      </c>
      <c r="E20" s="1">
        <v>33333</v>
      </c>
    </row>
    <row r="21" spans="1:5" ht="18.75" customHeight="1">
      <c r="A21" s="3">
        <v>43472</v>
      </c>
      <c r="B21" s="1" t="s">
        <v>12</v>
      </c>
      <c r="C21" s="4" t="s">
        <v>13</v>
      </c>
      <c r="D21" s="1" t="s">
        <v>14</v>
      </c>
      <c r="E21" s="1">
        <v>33333</v>
      </c>
    </row>
    <row r="22" spans="1:5" ht="18.75" customHeight="1">
      <c r="A22" s="3">
        <v>43497</v>
      </c>
      <c r="B22" s="1" t="s">
        <v>12</v>
      </c>
      <c r="C22" s="4" t="s">
        <v>13</v>
      </c>
      <c r="D22" s="1" t="s">
        <v>14</v>
      </c>
      <c r="E22" s="1">
        <v>33333</v>
      </c>
    </row>
    <row r="23" spans="1:5" ht="18.75" customHeight="1">
      <c r="A23" s="3">
        <v>43525</v>
      </c>
      <c r="B23" s="1" t="s">
        <v>12</v>
      </c>
      <c r="C23" s="4" t="s">
        <v>13</v>
      </c>
      <c r="D23" s="1" t="s">
        <v>14</v>
      </c>
      <c r="E23" s="1">
        <v>33333</v>
      </c>
    </row>
    <row r="24" spans="1:5" ht="18.75" customHeight="1">
      <c r="A24" s="3">
        <v>43557</v>
      </c>
      <c r="B24" s="1" t="s">
        <v>12</v>
      </c>
      <c r="C24" s="4" t="s">
        <v>13</v>
      </c>
      <c r="D24" s="1" t="s">
        <v>14</v>
      </c>
      <c r="E24" s="1">
        <v>33333</v>
      </c>
    </row>
    <row r="25" spans="1:5" ht="18.75" customHeight="1">
      <c r="A25" s="3">
        <v>43593</v>
      </c>
      <c r="B25" s="1" t="s">
        <v>12</v>
      </c>
      <c r="C25" s="4" t="s">
        <v>13</v>
      </c>
      <c r="D25" s="1" t="s">
        <v>14</v>
      </c>
      <c r="E25" s="1">
        <v>33333</v>
      </c>
    </row>
    <row r="26" spans="1:5" ht="18.75" customHeight="1">
      <c r="A26" s="3">
        <v>43619</v>
      </c>
      <c r="B26" s="1" t="s">
        <v>12</v>
      </c>
      <c r="C26" s="4" t="s">
        <v>13</v>
      </c>
      <c r="D26" s="1" t="s">
        <v>14</v>
      </c>
      <c r="E26" s="1">
        <v>33333</v>
      </c>
    </row>
    <row r="27" spans="1:5" ht="18.75" customHeight="1">
      <c r="A27" s="3">
        <v>43628</v>
      </c>
      <c r="C27" s="4" t="s">
        <v>15</v>
      </c>
      <c r="D27" s="1" t="s">
        <v>16</v>
      </c>
      <c r="E27" s="1">
        <v>66667</v>
      </c>
    </row>
    <row r="28" spans="1:5" ht="18.75" customHeight="1">
      <c r="A28" s="3">
        <v>43649</v>
      </c>
      <c r="B28" s="1" t="s">
        <v>12</v>
      </c>
      <c r="C28" s="4" t="s">
        <v>13</v>
      </c>
      <c r="D28" s="1" t="s">
        <v>14</v>
      </c>
      <c r="E28" s="1">
        <v>33333</v>
      </c>
    </row>
    <row r="29" spans="1:5" ht="18.75" customHeight="1">
      <c r="A29" s="3">
        <v>43658</v>
      </c>
      <c r="C29" s="4" t="s">
        <v>15</v>
      </c>
      <c r="D29" s="1" t="s">
        <v>16</v>
      </c>
      <c r="E29" s="1">
        <v>66667</v>
      </c>
    </row>
    <row r="30" spans="1:5" ht="18.75" customHeight="1">
      <c r="A30" s="3">
        <v>43678</v>
      </c>
      <c r="B30" s="1" t="s">
        <v>12</v>
      </c>
      <c r="C30" s="4" t="s">
        <v>13</v>
      </c>
      <c r="D30" s="1" t="s">
        <v>14</v>
      </c>
      <c r="E30" s="1">
        <v>33333</v>
      </c>
    </row>
    <row r="31" spans="1:5" ht="18.75" customHeight="1">
      <c r="A31" s="3">
        <v>43691</v>
      </c>
      <c r="C31" s="4" t="s">
        <v>15</v>
      </c>
      <c r="D31" s="1" t="s">
        <v>16</v>
      </c>
      <c r="E31" s="1">
        <v>66667</v>
      </c>
    </row>
    <row r="32" spans="1:5" ht="18.75" customHeight="1">
      <c r="A32" s="3">
        <v>43712</v>
      </c>
      <c r="B32" s="1" t="s">
        <v>12</v>
      </c>
      <c r="C32" s="4" t="s">
        <v>13</v>
      </c>
      <c r="D32" s="1" t="s">
        <v>14</v>
      </c>
      <c r="E32" s="1">
        <v>33333</v>
      </c>
    </row>
    <row r="33" spans="1:5" ht="18.75" customHeight="1">
      <c r="A33" s="3">
        <v>43720</v>
      </c>
      <c r="C33" s="4" t="s">
        <v>15</v>
      </c>
      <c r="D33" s="1" t="s">
        <v>16</v>
      </c>
      <c r="E33" s="1">
        <v>66667</v>
      </c>
    </row>
    <row r="34" spans="1:5" ht="18.75" customHeight="1">
      <c r="A34" s="3">
        <v>43739</v>
      </c>
      <c r="B34" s="1" t="s">
        <v>12</v>
      </c>
      <c r="C34" s="4" t="s">
        <v>13</v>
      </c>
      <c r="D34" s="1" t="s">
        <v>14</v>
      </c>
      <c r="E34" s="1">
        <v>33333</v>
      </c>
    </row>
    <row r="35" spans="1:5" ht="18.75" customHeight="1">
      <c r="A35" s="3">
        <v>43753</v>
      </c>
      <c r="C35" s="4" t="s">
        <v>15</v>
      </c>
      <c r="D35" s="1" t="s">
        <v>16</v>
      </c>
      <c r="E35" s="1">
        <v>66667</v>
      </c>
    </row>
    <row r="36" spans="1:5" ht="18.75" customHeight="1">
      <c r="A36" s="3">
        <v>43770</v>
      </c>
      <c r="B36" s="1" t="s">
        <v>12</v>
      </c>
      <c r="C36" s="4" t="s">
        <v>13</v>
      </c>
      <c r="D36" s="1" t="s">
        <v>14</v>
      </c>
      <c r="E36" s="1">
        <v>33333</v>
      </c>
    </row>
    <row r="37" spans="1:5" ht="18.75" customHeight="1">
      <c r="A37" s="3">
        <v>43782</v>
      </c>
      <c r="C37" s="4" t="s">
        <v>15</v>
      </c>
      <c r="D37" s="1" t="s">
        <v>16</v>
      </c>
      <c r="E37" s="1">
        <v>66667</v>
      </c>
    </row>
    <row r="38" spans="1:5" ht="18.75" customHeight="1">
      <c r="A38" s="3">
        <v>43802</v>
      </c>
      <c r="B38" s="1" t="s">
        <v>12</v>
      </c>
      <c r="C38" s="4" t="s">
        <v>13</v>
      </c>
      <c r="D38" s="1" t="s">
        <v>14</v>
      </c>
      <c r="E38" s="1">
        <v>33333</v>
      </c>
    </row>
    <row r="39" spans="1:5" ht="18.75" customHeight="1">
      <c r="A39" s="3">
        <v>43811</v>
      </c>
      <c r="C39" s="4" t="s">
        <v>15</v>
      </c>
      <c r="D39" s="1" t="s">
        <v>16</v>
      </c>
      <c r="E39" s="1">
        <v>66667</v>
      </c>
    </row>
    <row r="40" spans="1:5" ht="18.75" customHeight="1">
      <c r="A40" s="3">
        <v>43837</v>
      </c>
      <c r="B40" s="1" t="s">
        <v>12</v>
      </c>
      <c r="C40" s="4" t="s">
        <v>13</v>
      </c>
      <c r="D40" s="1" t="s">
        <v>14</v>
      </c>
      <c r="E40" s="1">
        <v>33333</v>
      </c>
    </row>
    <row r="41" spans="1:5" ht="18.75" customHeight="1">
      <c r="A41" s="3">
        <v>43845</v>
      </c>
      <c r="B41" s="1" t="s">
        <v>12</v>
      </c>
      <c r="C41" s="4" t="s">
        <v>13</v>
      </c>
      <c r="D41" s="1" t="s">
        <v>14</v>
      </c>
      <c r="E41" s="1">
        <v>33333</v>
      </c>
    </row>
    <row r="42" spans="1:5" ht="18.75" customHeight="1">
      <c r="A42" s="3">
        <v>43845</v>
      </c>
      <c r="C42" s="4" t="s">
        <v>15</v>
      </c>
      <c r="D42" s="1" t="s">
        <v>16</v>
      </c>
      <c r="E42" s="1">
        <v>166667</v>
      </c>
    </row>
    <row r="43" spans="1:5" ht="18.75" customHeight="1">
      <c r="A43" s="3">
        <v>43874</v>
      </c>
      <c r="B43" s="1" t="s">
        <v>12</v>
      </c>
      <c r="C43" s="4" t="s">
        <v>13</v>
      </c>
      <c r="D43" s="1" t="s">
        <v>14</v>
      </c>
      <c r="E43" s="1">
        <v>33333</v>
      </c>
    </row>
    <row r="44" spans="1:5" ht="18.75" customHeight="1">
      <c r="A44" s="3">
        <v>43874</v>
      </c>
      <c r="C44" s="4" t="s">
        <v>15</v>
      </c>
      <c r="D44" s="1" t="s">
        <v>16</v>
      </c>
      <c r="E44" s="1">
        <v>166667</v>
      </c>
    </row>
    <row r="45" spans="1:5" ht="18.75" customHeight="1">
      <c r="A45" s="3">
        <v>43899</v>
      </c>
      <c r="C45" s="4" t="s">
        <v>15</v>
      </c>
      <c r="D45" s="1" t="s">
        <v>16</v>
      </c>
      <c r="E45" s="1">
        <v>5000000</v>
      </c>
    </row>
    <row r="46" spans="1:5" ht="18.75" customHeight="1">
      <c r="A46" s="3">
        <v>43902</v>
      </c>
      <c r="B46" s="1" t="s">
        <v>12</v>
      </c>
      <c r="C46" s="4" t="s">
        <v>13</v>
      </c>
      <c r="D46" s="1" t="s">
        <v>14</v>
      </c>
      <c r="E46" s="1">
        <v>33333</v>
      </c>
    </row>
    <row r="47" spans="1:5" ht="18.75" customHeight="1">
      <c r="A47" s="3">
        <v>43902</v>
      </c>
      <c r="C47" s="4" t="s">
        <v>15</v>
      </c>
      <c r="D47" s="1" t="s">
        <v>16</v>
      </c>
      <c r="E47" s="1">
        <v>166667</v>
      </c>
    </row>
    <row r="48" spans="1:5" ht="18.75" customHeight="1">
      <c r="A48" s="3">
        <v>43936</v>
      </c>
      <c r="B48" s="1" t="s">
        <v>12</v>
      </c>
      <c r="C48" s="4" t="s">
        <v>13</v>
      </c>
      <c r="D48" s="1" t="s">
        <v>14</v>
      </c>
      <c r="E48" s="1">
        <v>33333</v>
      </c>
    </row>
    <row r="49" spans="1:5" ht="18.75" customHeight="1">
      <c r="A49" s="3">
        <v>43936</v>
      </c>
      <c r="C49" s="4" t="s">
        <v>15</v>
      </c>
      <c r="D49" s="1" t="s">
        <v>16</v>
      </c>
      <c r="E49" s="1">
        <v>166667</v>
      </c>
    </row>
    <row r="50" spans="1:5" ht="18.75" customHeight="1">
      <c r="A50" s="3">
        <v>43963</v>
      </c>
      <c r="B50" s="1" t="s">
        <v>12</v>
      </c>
      <c r="C50" s="4" t="s">
        <v>13</v>
      </c>
      <c r="D50" s="1" t="s">
        <v>14</v>
      </c>
      <c r="E50" s="1">
        <v>33333</v>
      </c>
    </row>
    <row r="51" spans="1:5" ht="18.75" customHeight="1">
      <c r="A51" s="3">
        <v>43963</v>
      </c>
      <c r="C51" s="4" t="s">
        <v>15</v>
      </c>
      <c r="D51" s="1" t="s">
        <v>16</v>
      </c>
      <c r="E51" s="1">
        <v>166667</v>
      </c>
    </row>
    <row r="52" spans="1:5" ht="18.75" customHeight="1">
      <c r="A52" s="3">
        <v>43994</v>
      </c>
      <c r="B52" s="1" t="s">
        <v>12</v>
      </c>
      <c r="C52" s="4" t="s">
        <v>13</v>
      </c>
      <c r="D52" s="1" t="s">
        <v>14</v>
      </c>
      <c r="E52" s="1">
        <v>33333</v>
      </c>
    </row>
    <row r="53" spans="1:5" ht="18.75" customHeight="1">
      <c r="A53" s="3">
        <v>43994</v>
      </c>
      <c r="C53" s="4" t="s">
        <v>15</v>
      </c>
      <c r="D53" s="1" t="s">
        <v>16</v>
      </c>
      <c r="E53" s="1">
        <v>166667</v>
      </c>
    </row>
    <row r="54" spans="1:5" ht="18.75" customHeight="1">
      <c r="A54" s="3">
        <v>44026</v>
      </c>
      <c r="B54" s="1" t="s">
        <v>12</v>
      </c>
      <c r="C54" s="4" t="s">
        <v>13</v>
      </c>
      <c r="D54" s="1" t="s">
        <v>14</v>
      </c>
      <c r="E54" s="1">
        <v>33333</v>
      </c>
    </row>
    <row r="55" spans="1:5" ht="18.75" customHeight="1">
      <c r="A55" s="3">
        <v>44026</v>
      </c>
      <c r="C55" s="4" t="s">
        <v>15</v>
      </c>
      <c r="D55" s="1" t="s">
        <v>16</v>
      </c>
      <c r="E55" s="1">
        <v>166667</v>
      </c>
    </row>
    <row r="56" spans="1:5" ht="18.75" customHeight="1">
      <c r="A56" s="3">
        <v>44055</v>
      </c>
      <c r="B56" s="1" t="s">
        <v>12</v>
      </c>
      <c r="C56" s="4" t="s">
        <v>13</v>
      </c>
      <c r="D56" s="1" t="s">
        <v>14</v>
      </c>
      <c r="E56" s="1">
        <v>33333</v>
      </c>
    </row>
    <row r="57" spans="1:5" ht="18.75" customHeight="1">
      <c r="A57" s="3">
        <v>44055</v>
      </c>
      <c r="C57" s="4" t="s">
        <v>15</v>
      </c>
      <c r="D57" s="1" t="s">
        <v>16</v>
      </c>
      <c r="E57" s="1">
        <v>166667</v>
      </c>
    </row>
    <row r="58" spans="1:5" ht="18.75" customHeight="1">
      <c r="A58" s="3">
        <v>44088</v>
      </c>
      <c r="B58" s="1" t="s">
        <v>12</v>
      </c>
      <c r="C58" s="4" t="s">
        <v>13</v>
      </c>
      <c r="D58" s="1" t="s">
        <v>14</v>
      </c>
      <c r="E58" s="1">
        <v>33333</v>
      </c>
    </row>
    <row r="59" spans="1:5" ht="18.75" customHeight="1">
      <c r="A59" s="3">
        <v>44088</v>
      </c>
      <c r="C59" s="4" t="s">
        <v>15</v>
      </c>
      <c r="D59" s="1" t="s">
        <v>16</v>
      </c>
      <c r="E59" s="1">
        <v>166667</v>
      </c>
    </row>
    <row r="60" spans="1:5" ht="18.75" customHeight="1">
      <c r="A60" s="3">
        <v>44118</v>
      </c>
      <c r="B60" s="1" t="s">
        <v>12</v>
      </c>
      <c r="C60" s="4" t="s">
        <v>13</v>
      </c>
      <c r="D60" s="1" t="s">
        <v>14</v>
      </c>
      <c r="E60" s="1">
        <v>33333</v>
      </c>
    </row>
    <row r="61" spans="1:5" ht="18.75" customHeight="1">
      <c r="A61" s="3">
        <v>44118</v>
      </c>
      <c r="C61" s="4" t="s">
        <v>15</v>
      </c>
      <c r="D61" s="1" t="s">
        <v>16</v>
      </c>
      <c r="E61" s="1">
        <v>166667</v>
      </c>
    </row>
    <row r="62" spans="1:5" ht="18.75" customHeight="1">
      <c r="A62" s="3">
        <v>44148</v>
      </c>
      <c r="B62" s="1" t="s">
        <v>12</v>
      </c>
      <c r="C62" s="4" t="s">
        <v>13</v>
      </c>
      <c r="D62" s="1" t="s">
        <v>14</v>
      </c>
      <c r="E62" s="1">
        <v>33333</v>
      </c>
    </row>
    <row r="63" spans="1:5" ht="18.75" customHeight="1">
      <c r="A63" s="3">
        <v>44148</v>
      </c>
      <c r="C63" s="4" t="s">
        <v>15</v>
      </c>
      <c r="D63" s="1" t="s">
        <v>16</v>
      </c>
      <c r="E63" s="1">
        <v>166667</v>
      </c>
    </row>
    <row r="64" spans="1:5" ht="18.75" customHeight="1">
      <c r="A64" s="3">
        <v>44179</v>
      </c>
      <c r="C64" s="4" t="s">
        <v>15</v>
      </c>
      <c r="D64" s="1" t="s">
        <v>16</v>
      </c>
      <c r="E64" s="1">
        <v>166667</v>
      </c>
    </row>
    <row r="65" spans="1:5" ht="18.75" customHeight="1">
      <c r="A65" s="3">
        <v>44209</v>
      </c>
      <c r="B65" s="1" t="s">
        <v>12</v>
      </c>
      <c r="C65" s="4" t="s">
        <v>13</v>
      </c>
      <c r="D65" s="1" t="s">
        <v>14</v>
      </c>
      <c r="E65" s="1">
        <v>33333</v>
      </c>
    </row>
    <row r="66" spans="1:5" ht="18.75" customHeight="1">
      <c r="A66" s="3">
        <v>44209</v>
      </c>
      <c r="C66" s="4" t="s">
        <v>15</v>
      </c>
      <c r="D66" s="1" t="s">
        <v>16</v>
      </c>
      <c r="E66" s="1">
        <v>166667</v>
      </c>
    </row>
    <row r="67" spans="1:5" ht="18.75" customHeight="1">
      <c r="A67" s="3">
        <v>44244</v>
      </c>
      <c r="B67" s="1" t="s">
        <v>12</v>
      </c>
      <c r="C67" s="4" t="s">
        <v>13</v>
      </c>
      <c r="D67" s="1" t="s">
        <v>14</v>
      </c>
      <c r="E67" s="1">
        <v>33333</v>
      </c>
    </row>
    <row r="68" spans="1:5" ht="18.75" customHeight="1">
      <c r="A68" s="3">
        <v>44244</v>
      </c>
      <c r="C68" s="4" t="s">
        <v>15</v>
      </c>
      <c r="D68" s="1" t="s">
        <v>16</v>
      </c>
      <c r="E68" s="1">
        <v>166667</v>
      </c>
    </row>
    <row r="69" spans="1:5" ht="18.75" customHeight="1">
      <c r="A69" s="3">
        <v>44267</v>
      </c>
      <c r="B69" s="1" t="s">
        <v>12</v>
      </c>
      <c r="C69" s="4" t="s">
        <v>13</v>
      </c>
      <c r="D69" s="1" t="s">
        <v>14</v>
      </c>
      <c r="E69" s="1">
        <v>33333</v>
      </c>
    </row>
    <row r="70" spans="1:5" ht="18.75" customHeight="1">
      <c r="A70" s="3">
        <v>44267</v>
      </c>
      <c r="C70" s="4" t="s">
        <v>15</v>
      </c>
      <c r="D70" s="1" t="s">
        <v>16</v>
      </c>
      <c r="E70" s="1">
        <v>166667</v>
      </c>
    </row>
    <row r="71" spans="1:5" ht="18.75" customHeight="1">
      <c r="A71" s="3">
        <v>44299</v>
      </c>
      <c r="B71" s="1" t="s">
        <v>12</v>
      </c>
      <c r="C71" s="4" t="s">
        <v>13</v>
      </c>
      <c r="D71" s="1" t="s">
        <v>16</v>
      </c>
      <c r="E71" s="1">
        <v>33333</v>
      </c>
    </row>
    <row r="72" spans="1:5" ht="18.75" customHeight="1">
      <c r="A72" s="3">
        <v>44299</v>
      </c>
      <c r="C72" s="4" t="s">
        <v>15</v>
      </c>
      <c r="D72" s="1" t="s">
        <v>16</v>
      </c>
      <c r="E72" s="1">
        <v>166667</v>
      </c>
    </row>
    <row r="73" spans="1:5" ht="18.75" customHeight="1">
      <c r="A73" s="3">
        <v>44328</v>
      </c>
      <c r="B73" s="1" t="s">
        <v>12</v>
      </c>
      <c r="C73" s="4" t="s">
        <v>15</v>
      </c>
      <c r="D73" s="1" t="s">
        <v>16</v>
      </c>
      <c r="E73" s="1">
        <v>33333</v>
      </c>
    </row>
    <row r="74" spans="1:5" ht="18.75" customHeight="1">
      <c r="A74" s="3">
        <v>44328</v>
      </c>
      <c r="C74" s="4" t="s">
        <v>15</v>
      </c>
      <c r="D74" s="1" t="s">
        <v>16</v>
      </c>
      <c r="E74" s="1">
        <v>166667</v>
      </c>
    </row>
    <row r="75" spans="1:5" ht="18.75" customHeight="1">
      <c r="A75" s="3">
        <v>44361</v>
      </c>
      <c r="B75" s="1" t="s">
        <v>12</v>
      </c>
      <c r="C75" s="4" t="s">
        <v>15</v>
      </c>
      <c r="D75" s="1" t="s">
        <v>16</v>
      </c>
      <c r="E75" s="1">
        <v>33333</v>
      </c>
    </row>
    <row r="76" spans="1:5" ht="18.75" customHeight="1">
      <c r="A76" s="3">
        <v>44361</v>
      </c>
      <c r="C76" s="4" t="s">
        <v>15</v>
      </c>
      <c r="D76" s="1" t="s">
        <v>16</v>
      </c>
      <c r="E76" s="1">
        <v>166667</v>
      </c>
    </row>
    <row r="77" spans="1:5" ht="18.75" customHeight="1">
      <c r="A77" s="3">
        <v>44390</v>
      </c>
      <c r="B77" s="1" t="s">
        <v>12</v>
      </c>
      <c r="C77" s="4" t="s">
        <v>15</v>
      </c>
      <c r="D77" s="1" t="s">
        <v>16</v>
      </c>
      <c r="E77" s="1">
        <v>33333</v>
      </c>
    </row>
    <row r="78" spans="1:5" ht="18.75" customHeight="1">
      <c r="A78" s="3">
        <v>44390</v>
      </c>
      <c r="C78" s="4" t="s">
        <v>15</v>
      </c>
      <c r="D78" s="1" t="s">
        <v>16</v>
      </c>
      <c r="E78" s="1">
        <v>166667</v>
      </c>
    </row>
    <row r="79" spans="1:5" ht="18.75" customHeight="1">
      <c r="A79" s="3">
        <v>44420</v>
      </c>
      <c r="B79" s="1" t="s">
        <v>12</v>
      </c>
      <c r="C79" s="4" t="s">
        <v>15</v>
      </c>
      <c r="D79" s="1" t="s">
        <v>16</v>
      </c>
      <c r="E79" s="1">
        <v>33333</v>
      </c>
    </row>
    <row r="80" spans="1:5" ht="18.75" customHeight="1">
      <c r="A80" s="3">
        <v>44420</v>
      </c>
      <c r="C80" s="4" t="s">
        <v>15</v>
      </c>
      <c r="D80" s="1" t="s">
        <v>16</v>
      </c>
      <c r="E80" s="1">
        <v>166667</v>
      </c>
    </row>
    <row r="81" spans="1:5" ht="18.75" customHeight="1">
      <c r="A81" s="3">
        <v>44453</v>
      </c>
      <c r="B81" s="1" t="s">
        <v>12</v>
      </c>
      <c r="C81" s="4" t="s">
        <v>15</v>
      </c>
      <c r="D81" s="1" t="s">
        <v>16</v>
      </c>
      <c r="E81" s="1">
        <v>33333</v>
      </c>
    </row>
    <row r="82" spans="1:5" ht="18.75" customHeight="1">
      <c r="A82" s="3">
        <v>44453</v>
      </c>
      <c r="C82" s="4" t="s">
        <v>15</v>
      </c>
      <c r="D82" s="1" t="s">
        <v>16</v>
      </c>
      <c r="E82" s="1">
        <v>166667</v>
      </c>
    </row>
    <row r="83" spans="1:5" ht="18.75" customHeight="1">
      <c r="A83" s="3">
        <v>44482</v>
      </c>
      <c r="B83" s="1" t="s">
        <v>12</v>
      </c>
      <c r="C83" s="4" t="s">
        <v>15</v>
      </c>
      <c r="D83" s="1" t="s">
        <v>16</v>
      </c>
      <c r="E83" s="1">
        <v>33333</v>
      </c>
    </row>
    <row r="84" spans="1:5" ht="18.75" customHeight="1">
      <c r="A84" s="3">
        <v>44482</v>
      </c>
      <c r="C84" s="4" t="s">
        <v>15</v>
      </c>
      <c r="D84" s="1" t="s">
        <v>16</v>
      </c>
      <c r="E84" s="1">
        <v>166667</v>
      </c>
    </row>
    <row r="85" spans="1:5" ht="18.75" customHeight="1">
      <c r="A85" s="3">
        <v>44515</v>
      </c>
      <c r="B85" s="1" t="s">
        <v>12</v>
      </c>
      <c r="C85" s="4" t="s">
        <v>15</v>
      </c>
      <c r="D85" s="1" t="s">
        <v>16</v>
      </c>
      <c r="E85" s="1">
        <v>33333</v>
      </c>
    </row>
    <row r="86" spans="1:5" ht="18.75" customHeight="1">
      <c r="A86" s="3">
        <v>44515</v>
      </c>
      <c r="C86" s="4" t="s">
        <v>15</v>
      </c>
      <c r="D86" s="1" t="s">
        <v>16</v>
      </c>
      <c r="E86" s="1">
        <v>166667</v>
      </c>
    </row>
    <row r="87" spans="1:5" ht="18.75" customHeight="1">
      <c r="A87" s="3">
        <v>44544</v>
      </c>
      <c r="B87" s="1" t="s">
        <v>12</v>
      </c>
      <c r="C87" s="4" t="s">
        <v>15</v>
      </c>
      <c r="D87" s="1" t="s">
        <v>16</v>
      </c>
      <c r="E87" s="1">
        <v>33333</v>
      </c>
    </row>
    <row r="88" spans="1:5" ht="18.75" customHeight="1">
      <c r="A88" s="3">
        <v>44544</v>
      </c>
      <c r="C88" s="4" t="s">
        <v>15</v>
      </c>
      <c r="D88" s="1" t="s">
        <v>16</v>
      </c>
      <c r="E88" s="1">
        <v>166667</v>
      </c>
    </row>
    <row r="89" spans="1:5" ht="18.75" customHeight="1">
      <c r="A89" s="3">
        <v>44547</v>
      </c>
      <c r="C89" s="4" t="s">
        <v>17</v>
      </c>
      <c r="D89" s="1" t="s">
        <v>18</v>
      </c>
      <c r="E89" s="1">
        <v>5000000</v>
      </c>
    </row>
    <row r="90" spans="1:5" ht="18.75" customHeight="1">
      <c r="A90" s="3">
        <v>44573</v>
      </c>
      <c r="B90" s="1" t="s">
        <v>12</v>
      </c>
      <c r="C90" s="4" t="s">
        <v>15</v>
      </c>
      <c r="D90" s="1" t="s">
        <v>16</v>
      </c>
      <c r="E90" s="1">
        <v>33333</v>
      </c>
    </row>
    <row r="91" spans="1:5" ht="18.75" customHeight="1">
      <c r="A91" s="3">
        <v>44573</v>
      </c>
      <c r="C91" s="4" t="s">
        <v>15</v>
      </c>
      <c r="D91" s="1" t="s">
        <v>16</v>
      </c>
      <c r="E91" s="1">
        <v>166667</v>
      </c>
    </row>
    <row r="92" spans="1:5" ht="18.75" customHeight="1">
      <c r="A92" s="3">
        <v>44607</v>
      </c>
      <c r="B92" s="1" t="s">
        <v>12</v>
      </c>
      <c r="C92" s="4" t="s">
        <v>15</v>
      </c>
      <c r="D92" s="1" t="s">
        <v>16</v>
      </c>
      <c r="E92" s="1">
        <v>33333</v>
      </c>
    </row>
    <row r="93" spans="1:5" ht="18.75" customHeight="1">
      <c r="A93" s="3">
        <v>44607</v>
      </c>
      <c r="C93" s="4" t="s">
        <v>15</v>
      </c>
      <c r="D93" s="1" t="s">
        <v>16</v>
      </c>
      <c r="E93" s="1">
        <v>166667</v>
      </c>
    </row>
    <row r="94" spans="1:5" ht="18.75" customHeight="1">
      <c r="A94" s="3">
        <v>44622</v>
      </c>
      <c r="B94" s="1" t="s">
        <v>12</v>
      </c>
      <c r="C94" s="4" t="s">
        <v>15</v>
      </c>
      <c r="D94" s="1" t="s">
        <v>16</v>
      </c>
      <c r="E94" s="1">
        <v>33333</v>
      </c>
    </row>
    <row r="95" spans="1:5" ht="18.75" customHeight="1">
      <c r="A95" s="3">
        <v>44622</v>
      </c>
      <c r="C95" s="4" t="s">
        <v>15</v>
      </c>
      <c r="D95" s="1" t="s">
        <v>16</v>
      </c>
      <c r="E95" s="1">
        <v>166667</v>
      </c>
    </row>
    <row r="96" spans="1:5" ht="18.75" customHeight="1">
      <c r="A96" s="3">
        <v>44655</v>
      </c>
      <c r="B96" s="1" t="s">
        <v>12</v>
      </c>
      <c r="C96" s="4" t="s">
        <v>15</v>
      </c>
      <c r="D96" s="1" t="s">
        <v>16</v>
      </c>
      <c r="E96" s="1">
        <v>33333</v>
      </c>
    </row>
    <row r="97" spans="1:5" ht="18.75" customHeight="1">
      <c r="A97" s="3">
        <v>44655</v>
      </c>
      <c r="C97" s="4" t="s">
        <v>15</v>
      </c>
      <c r="D97" s="1" t="s">
        <v>16</v>
      </c>
      <c r="E97" s="1">
        <v>166667</v>
      </c>
    </row>
    <row r="98" spans="1:5" ht="18.75" customHeight="1">
      <c r="A98" s="3">
        <v>44690</v>
      </c>
      <c r="B98" s="1" t="s">
        <v>12</v>
      </c>
      <c r="C98" s="4" t="s">
        <v>15</v>
      </c>
      <c r="D98" s="1" t="s">
        <v>16</v>
      </c>
      <c r="E98" s="1">
        <v>33333</v>
      </c>
    </row>
    <row r="99" spans="1:5" ht="18.75" customHeight="1">
      <c r="A99" s="3">
        <v>44690</v>
      </c>
      <c r="C99" s="4" t="s">
        <v>15</v>
      </c>
      <c r="D99" s="1" t="s">
        <v>16</v>
      </c>
      <c r="E99" s="1">
        <v>166667</v>
      </c>
    </row>
    <row r="100" spans="1:5" ht="18.75" customHeight="1">
      <c r="A100" s="3">
        <v>44713</v>
      </c>
      <c r="C100" s="4" t="s">
        <v>15</v>
      </c>
      <c r="D100" s="1" t="s">
        <v>16</v>
      </c>
      <c r="E100" s="1">
        <v>200000</v>
      </c>
    </row>
    <row r="101" spans="1:5" ht="18.75" customHeight="1">
      <c r="A101" s="3">
        <v>44743</v>
      </c>
      <c r="C101" s="4" t="s">
        <v>15</v>
      </c>
      <c r="D101" s="1" t="s">
        <v>16</v>
      </c>
      <c r="E101" s="1">
        <v>200000</v>
      </c>
    </row>
    <row r="102" spans="1:5" ht="18.75" customHeight="1">
      <c r="A102" s="3">
        <v>44774</v>
      </c>
      <c r="C102" s="4" t="s">
        <v>15</v>
      </c>
      <c r="D102" s="1" t="s">
        <v>16</v>
      </c>
      <c r="E102" s="1">
        <v>200000</v>
      </c>
    </row>
    <row r="103" spans="1:5" ht="18.75" customHeight="1">
      <c r="A103" s="3">
        <v>44805</v>
      </c>
      <c r="C103" s="4" t="s">
        <v>15</v>
      </c>
      <c r="D103" s="1" t="s">
        <v>16</v>
      </c>
      <c r="E103" s="1">
        <v>200000</v>
      </c>
    </row>
    <row r="104" spans="1:5" ht="18.75" customHeight="1">
      <c r="A104" s="3">
        <v>44835</v>
      </c>
      <c r="C104" s="4" t="s">
        <v>15</v>
      </c>
      <c r="D104" s="1" t="s">
        <v>16</v>
      </c>
      <c r="E104" s="1">
        <v>200000</v>
      </c>
    </row>
    <row r="105" spans="1:5" ht="18.75" customHeight="1">
      <c r="A105" s="3">
        <v>44866</v>
      </c>
      <c r="C105" s="4" t="s">
        <v>15</v>
      </c>
      <c r="D105" s="1" t="s">
        <v>16</v>
      </c>
      <c r="E105" s="1">
        <v>200000</v>
      </c>
    </row>
    <row r="106" spans="1:5" ht="18.75" customHeight="1">
      <c r="A106" s="3">
        <v>44896</v>
      </c>
      <c r="C106" s="4" t="s">
        <v>15</v>
      </c>
      <c r="D106" s="1" t="s">
        <v>16</v>
      </c>
      <c r="E106" s="1">
        <v>200000</v>
      </c>
    </row>
    <row r="107" spans="1:5" ht="18.75" customHeight="1">
      <c r="A107" s="3">
        <v>44927</v>
      </c>
      <c r="C107" s="4" t="s">
        <v>15</v>
      </c>
      <c r="D107" s="1" t="s">
        <v>16</v>
      </c>
      <c r="E107" s="1">
        <v>200000</v>
      </c>
    </row>
    <row r="108" spans="1:5" ht="18.75" customHeight="1">
      <c r="A108" s="3">
        <v>44958</v>
      </c>
      <c r="C108" s="4" t="s">
        <v>15</v>
      </c>
      <c r="D108" s="1" t="s">
        <v>16</v>
      </c>
      <c r="E108" s="1">
        <v>200000</v>
      </c>
    </row>
    <row r="109" spans="1:5" ht="18.75" customHeight="1">
      <c r="A109" s="3">
        <v>44986</v>
      </c>
      <c r="C109" s="4" t="s">
        <v>15</v>
      </c>
      <c r="D109" s="1" t="s">
        <v>16</v>
      </c>
      <c r="E109" s="1">
        <v>200000</v>
      </c>
    </row>
    <row r="110" spans="1:5" ht="18.75" customHeight="1">
      <c r="A110" s="3">
        <v>45017</v>
      </c>
      <c r="C110" s="4" t="s">
        <v>15</v>
      </c>
      <c r="D110" s="1" t="s">
        <v>16</v>
      </c>
      <c r="E110" s="1">
        <v>200000</v>
      </c>
    </row>
    <row r="111" spans="1:5" ht="18.75" customHeight="1">
      <c r="A111" s="3">
        <v>45047</v>
      </c>
      <c r="C111" s="4" t="s">
        <v>15</v>
      </c>
      <c r="D111" s="1" t="s">
        <v>16</v>
      </c>
      <c r="E111" s="1">
        <v>200000</v>
      </c>
    </row>
    <row r="112" spans="1:5" ht="18.75" customHeight="1">
      <c r="A112" s="3">
        <v>45078</v>
      </c>
      <c r="C112" s="4" t="s">
        <v>15</v>
      </c>
      <c r="D112" s="1" t="s">
        <v>16</v>
      </c>
      <c r="E112" s="1">
        <v>200000</v>
      </c>
    </row>
    <row r="113" spans="1:6" ht="18.75" customHeight="1">
      <c r="A113" s="3">
        <v>45090</v>
      </c>
      <c r="B113" s="5" t="s">
        <v>19</v>
      </c>
      <c r="C113" s="1" t="s">
        <v>20</v>
      </c>
      <c r="D113" s="1" t="s">
        <v>16</v>
      </c>
      <c r="E113" s="1">
        <v>18895</v>
      </c>
      <c r="F113" t="s">
        <v>21</v>
      </c>
    </row>
    <row r="114" spans="1:6" ht="18.75" customHeight="1">
      <c r="A114" s="3">
        <v>45108</v>
      </c>
      <c r="C114" s="4" t="s">
        <v>15</v>
      </c>
      <c r="D114" s="1" t="s">
        <v>16</v>
      </c>
      <c r="E114" s="1">
        <v>200000</v>
      </c>
      <c r="F114" t="s">
        <v>22</v>
      </c>
    </row>
    <row r="115" spans="1:6" ht="18.75" customHeight="1">
      <c r="A115" s="3">
        <v>45122</v>
      </c>
      <c r="B115" s="5" t="s">
        <v>19</v>
      </c>
      <c r="C115" s="1" t="s">
        <v>20</v>
      </c>
      <c r="D115" s="1" t="s">
        <v>16</v>
      </c>
      <c r="E115" s="1">
        <v>9829</v>
      </c>
    </row>
    <row r="116" spans="1:6" ht="18.75" customHeight="1">
      <c r="A116" s="3">
        <f>EDATE(A114,1)</f>
        <v>45139</v>
      </c>
      <c r="C116" s="4" t="s">
        <v>15</v>
      </c>
      <c r="D116" s="1" t="s">
        <v>16</v>
      </c>
      <c r="E116" s="1">
        <v>150000</v>
      </c>
    </row>
    <row r="117" spans="1:6" ht="18.75" customHeight="1">
      <c r="A117" s="3">
        <v>45153</v>
      </c>
      <c r="B117" s="5" t="s">
        <v>19</v>
      </c>
      <c r="C117" s="1" t="s">
        <v>20</v>
      </c>
      <c r="D117" s="1" t="s">
        <v>16</v>
      </c>
      <c r="E117" s="1">
        <v>9829</v>
      </c>
    </row>
    <row r="118" spans="1:6" ht="18.75" customHeight="1">
      <c r="A118" s="3">
        <f>EDATE(A116,1)</f>
        <v>45170</v>
      </c>
      <c r="C118" s="4" t="s">
        <v>15</v>
      </c>
      <c r="D118" s="1" t="s">
        <v>16</v>
      </c>
      <c r="E118" s="1">
        <f>E116</f>
        <v>150000</v>
      </c>
    </row>
    <row r="119" spans="1:6" ht="18.75" customHeight="1">
      <c r="A119" s="3">
        <v>45184</v>
      </c>
      <c r="B119" s="5" t="s">
        <v>19</v>
      </c>
      <c r="C119" s="1" t="s">
        <v>20</v>
      </c>
      <c r="D119" s="1" t="s">
        <v>16</v>
      </c>
      <c r="E119" s="1">
        <v>9829</v>
      </c>
    </row>
    <row r="120" spans="1:6" ht="18.75" customHeight="1">
      <c r="A120" s="3">
        <f>EDATE(A118,1)</f>
        <v>45200</v>
      </c>
      <c r="C120" s="4" t="s">
        <v>15</v>
      </c>
      <c r="D120" s="1" t="s">
        <v>16</v>
      </c>
      <c r="E120" s="1">
        <f>E118</f>
        <v>150000</v>
      </c>
    </row>
    <row r="121" spans="1:6" ht="18.75" customHeight="1">
      <c r="A121" s="3">
        <v>45214</v>
      </c>
      <c r="B121" s="5" t="s">
        <v>19</v>
      </c>
      <c r="C121" s="1" t="s">
        <v>20</v>
      </c>
      <c r="D121" s="1" t="s">
        <v>16</v>
      </c>
      <c r="E121" s="1">
        <v>9829</v>
      </c>
    </row>
    <row r="122" spans="1:6" ht="18.75" customHeight="1">
      <c r="A122" s="3">
        <f>EDATE(A120,1)</f>
        <v>45231</v>
      </c>
      <c r="C122" s="4" t="s">
        <v>15</v>
      </c>
      <c r="D122" s="1" t="s">
        <v>16</v>
      </c>
      <c r="E122" s="1">
        <f>E120</f>
        <v>150000</v>
      </c>
    </row>
    <row r="123" spans="1:6" ht="18.75" customHeight="1">
      <c r="A123" s="3">
        <v>45245</v>
      </c>
      <c r="B123" s="5" t="s">
        <v>19</v>
      </c>
      <c r="C123" s="1" t="s">
        <v>20</v>
      </c>
      <c r="D123" s="1" t="s">
        <v>16</v>
      </c>
      <c r="E123" s="1">
        <v>9829</v>
      </c>
    </row>
    <row r="124" spans="1:6" ht="18.75" customHeight="1">
      <c r="A124" s="3">
        <f>EDATE(A122,1)</f>
        <v>45261</v>
      </c>
      <c r="C124" s="4" t="s">
        <v>15</v>
      </c>
      <c r="D124" s="1" t="s">
        <v>16</v>
      </c>
      <c r="E124" s="1">
        <f>E122</f>
        <v>150000</v>
      </c>
    </row>
    <row r="125" spans="1:6" ht="18.75" customHeight="1">
      <c r="A125" s="3">
        <v>45275</v>
      </c>
      <c r="B125" s="5" t="s">
        <v>19</v>
      </c>
      <c r="C125" s="1" t="s">
        <v>20</v>
      </c>
      <c r="D125" s="1" t="s">
        <v>16</v>
      </c>
      <c r="E125" s="1">
        <v>9829</v>
      </c>
    </row>
    <row r="126" spans="1:6" ht="18.75" customHeight="1">
      <c r="A126" s="3">
        <f>EDATE(A124,1)</f>
        <v>45292</v>
      </c>
      <c r="B126" t="s">
        <v>23</v>
      </c>
      <c r="C126" s="4" t="s">
        <v>15</v>
      </c>
      <c r="D126" s="1" t="s">
        <v>16</v>
      </c>
      <c r="E126" s="1">
        <v>200000</v>
      </c>
      <c r="F126" t="s">
        <v>24</v>
      </c>
    </row>
    <row r="127" spans="1:6" ht="18.75" customHeight="1">
      <c r="A127" s="3">
        <f>A126</f>
        <v>45292</v>
      </c>
      <c r="B127" t="s">
        <v>25</v>
      </c>
      <c r="C127" s="4" t="s">
        <v>15</v>
      </c>
      <c r="D127" s="1" t="s">
        <v>16</v>
      </c>
      <c r="E127" s="1">
        <v>50000</v>
      </c>
    </row>
    <row r="128" spans="1:6" ht="18.75" customHeight="1">
      <c r="A128" s="3">
        <f>A127</f>
        <v>45292</v>
      </c>
      <c r="B128" t="s">
        <v>25</v>
      </c>
      <c r="C128" s="4" t="s">
        <v>15</v>
      </c>
      <c r="D128" s="1" t="s">
        <v>16</v>
      </c>
      <c r="E128" s="1">
        <v>50000</v>
      </c>
    </row>
    <row r="129" spans="1:5" ht="18.75" customHeight="1">
      <c r="A129" s="3">
        <f>EDATE(A125,1)</f>
        <v>45306</v>
      </c>
      <c r="B129" t="str">
        <f>B125</f>
        <v>iDeco</v>
      </c>
      <c r="C129" t="str">
        <f>C125</f>
        <v>ＳＢＩ・全世界株式インデックス・ファンド</v>
      </c>
      <c r="D129" t="str">
        <f>D125</f>
        <v>全世界株式</v>
      </c>
      <c r="E129">
        <f>E125</f>
        <v>9829</v>
      </c>
    </row>
    <row r="130" spans="1:5" ht="18.75" customHeight="1">
      <c r="A130" s="3">
        <f>EDATE(A126,1)</f>
        <v>45323</v>
      </c>
      <c r="B130" t="str">
        <f>B126</f>
        <v>NISA(成長)</v>
      </c>
      <c r="C130" t="str">
        <f>C126</f>
        <v>eMAXIS Slim 全世界株式（オール・カントリー）</v>
      </c>
      <c r="D130" t="str">
        <f>D126</f>
        <v>全世界株式</v>
      </c>
      <c r="E130">
        <f>E126</f>
        <v>200000</v>
      </c>
    </row>
    <row r="131" spans="1:5" ht="18.75" customHeight="1">
      <c r="A131" s="3">
        <f>EDATE(A127,1)</f>
        <v>45323</v>
      </c>
      <c r="B131" t="str">
        <f>B127</f>
        <v>NISA(つみたて)</v>
      </c>
      <c r="C131" t="str">
        <f>C127</f>
        <v>eMAXIS Slim 全世界株式（オール・カントリー）</v>
      </c>
      <c r="D131" t="str">
        <f>D127</f>
        <v>全世界株式</v>
      </c>
      <c r="E131">
        <f>E127</f>
        <v>50000</v>
      </c>
    </row>
    <row r="132" spans="1:5" ht="18.75" customHeight="1">
      <c r="A132" s="3">
        <f>EDATE(A128,1)</f>
        <v>45323</v>
      </c>
      <c r="B132" t="str">
        <f>B128</f>
        <v>NISA(つみたて)</v>
      </c>
      <c r="C132" t="str">
        <f>C128</f>
        <v>eMAXIS Slim 全世界株式（オール・カントリー）</v>
      </c>
      <c r="D132" t="str">
        <f>D128</f>
        <v>全世界株式</v>
      </c>
      <c r="E132">
        <f>E128</f>
        <v>50000</v>
      </c>
    </row>
    <row r="133" spans="1:5" ht="18.75" customHeight="1">
      <c r="A133" s="3">
        <f>EDATE(A129,1)</f>
        <v>45337</v>
      </c>
      <c r="B133" t="str">
        <f>B129</f>
        <v>iDeco</v>
      </c>
      <c r="C133" t="str">
        <f>C129</f>
        <v>ＳＢＩ・全世界株式インデックス・ファンド</v>
      </c>
      <c r="D133" t="str">
        <f>D129</f>
        <v>全世界株式</v>
      </c>
      <c r="E133">
        <f>E129</f>
        <v>9829</v>
      </c>
    </row>
    <row r="134" spans="1:5" ht="18.75" customHeight="1">
      <c r="A134" s="3">
        <f>EDATE(A130,1)</f>
        <v>45352</v>
      </c>
      <c r="B134" t="str">
        <f>B130</f>
        <v>NISA(成長)</v>
      </c>
      <c r="C134" t="str">
        <f>C130</f>
        <v>eMAXIS Slim 全世界株式（オール・カントリー）</v>
      </c>
      <c r="D134" t="str">
        <f>D130</f>
        <v>全世界株式</v>
      </c>
      <c r="E134">
        <f>E130</f>
        <v>200000</v>
      </c>
    </row>
    <row r="135" spans="1:5" ht="18.75" customHeight="1">
      <c r="A135" s="3">
        <f>EDATE(A131,1)</f>
        <v>45352</v>
      </c>
      <c r="B135" t="str">
        <f>B131</f>
        <v>NISA(つみたて)</v>
      </c>
      <c r="C135" t="str">
        <f>C131</f>
        <v>eMAXIS Slim 全世界株式（オール・カントリー）</v>
      </c>
      <c r="D135" t="str">
        <f>D131</f>
        <v>全世界株式</v>
      </c>
      <c r="E135">
        <f>E131</f>
        <v>50000</v>
      </c>
    </row>
    <row r="136" spans="1:5" ht="18.75" customHeight="1">
      <c r="A136" s="3">
        <f>EDATE(A132,1)</f>
        <v>45352</v>
      </c>
      <c r="B136" t="str">
        <f>B132</f>
        <v>NISA(つみたて)</v>
      </c>
      <c r="C136" t="str">
        <f>C132</f>
        <v>eMAXIS Slim 全世界株式（オール・カントリー）</v>
      </c>
      <c r="D136" t="str">
        <f>D132</f>
        <v>全世界株式</v>
      </c>
      <c r="E136">
        <f>E132</f>
        <v>50000</v>
      </c>
    </row>
    <row r="137" spans="1:5" ht="18.75" customHeight="1">
      <c r="A137" s="3">
        <f>EDATE(A133,1)</f>
        <v>45366</v>
      </c>
      <c r="B137" t="str">
        <f>B133</f>
        <v>iDeco</v>
      </c>
      <c r="C137" t="str">
        <f>C133</f>
        <v>ＳＢＩ・全世界株式インデックス・ファンド</v>
      </c>
      <c r="D137" t="str">
        <f>D133</f>
        <v>全世界株式</v>
      </c>
      <c r="E137">
        <f>E133</f>
        <v>9829</v>
      </c>
    </row>
    <row r="138" spans="1:5" ht="18.75" customHeight="1">
      <c r="A138" s="3">
        <f>EDATE(A134,1)</f>
        <v>45383</v>
      </c>
      <c r="B138" t="str">
        <f>B134</f>
        <v>NISA(成長)</v>
      </c>
      <c r="C138" t="str">
        <f>C134</f>
        <v>eMAXIS Slim 全世界株式（オール・カントリー）</v>
      </c>
      <c r="D138" t="str">
        <f>D134</f>
        <v>全世界株式</v>
      </c>
      <c r="E138">
        <f>E134</f>
        <v>200000</v>
      </c>
    </row>
    <row r="139" spans="1:5" ht="18.75" customHeight="1">
      <c r="A139" s="3">
        <f>EDATE(A135,1)</f>
        <v>45383</v>
      </c>
      <c r="B139" t="str">
        <f>B135</f>
        <v>NISA(つみたて)</v>
      </c>
      <c r="C139" t="str">
        <f>C135</f>
        <v>eMAXIS Slim 全世界株式（オール・カントリー）</v>
      </c>
      <c r="D139" t="str">
        <f>D135</f>
        <v>全世界株式</v>
      </c>
      <c r="E139">
        <f>E135</f>
        <v>50000</v>
      </c>
    </row>
    <row r="140" spans="1:5" ht="18.75" customHeight="1">
      <c r="A140" s="3">
        <f>EDATE(A136,1)</f>
        <v>45383</v>
      </c>
      <c r="B140" t="str">
        <f>B136</f>
        <v>NISA(つみたて)</v>
      </c>
      <c r="C140" t="str">
        <f>C136</f>
        <v>eMAXIS Slim 全世界株式（オール・カントリー）</v>
      </c>
      <c r="D140" t="str">
        <f>D136</f>
        <v>全世界株式</v>
      </c>
      <c r="E140">
        <f>E136</f>
        <v>50000</v>
      </c>
    </row>
    <row r="141" spans="1:5" ht="18.75" customHeight="1">
      <c r="A141" s="3">
        <f>EDATE(A137,1)</f>
        <v>45397</v>
      </c>
      <c r="B141" t="str">
        <f>B137</f>
        <v>iDeco</v>
      </c>
      <c r="C141" t="str">
        <f>C137</f>
        <v>ＳＢＩ・全世界株式インデックス・ファンド</v>
      </c>
      <c r="D141" t="str">
        <f>D137</f>
        <v>全世界株式</v>
      </c>
      <c r="E141">
        <f>E137</f>
        <v>9829</v>
      </c>
    </row>
    <row r="142" spans="1:5" ht="18.75" customHeight="1">
      <c r="A142" s="3">
        <f>EDATE(A138,1)</f>
        <v>45413</v>
      </c>
      <c r="B142" t="str">
        <f>B138</f>
        <v>NISA(成長)</v>
      </c>
      <c r="C142" t="str">
        <f>C138</f>
        <v>eMAXIS Slim 全世界株式（オール・カントリー）</v>
      </c>
      <c r="D142" t="str">
        <f>D138</f>
        <v>全世界株式</v>
      </c>
      <c r="E142">
        <f>E138</f>
        <v>200000</v>
      </c>
    </row>
    <row r="143" spans="1:5" ht="18.75" customHeight="1">
      <c r="A143" s="3">
        <f>EDATE(A139,1)</f>
        <v>45413</v>
      </c>
      <c r="B143" t="str">
        <f>B139</f>
        <v>NISA(つみたて)</v>
      </c>
      <c r="C143" t="str">
        <f>C139</f>
        <v>eMAXIS Slim 全世界株式（オール・カントリー）</v>
      </c>
      <c r="D143" t="str">
        <f>D139</f>
        <v>全世界株式</v>
      </c>
      <c r="E143">
        <f>E139</f>
        <v>50000</v>
      </c>
    </row>
    <row r="144" spans="1:5" ht="18.75" customHeight="1">
      <c r="A144" s="3">
        <f>EDATE(A140,1)</f>
        <v>45413</v>
      </c>
      <c r="B144" t="str">
        <f>B140</f>
        <v>NISA(つみたて)</v>
      </c>
      <c r="C144" t="str">
        <f>C140</f>
        <v>eMAXIS Slim 全世界株式（オール・カントリー）</v>
      </c>
      <c r="D144" t="str">
        <f>D140</f>
        <v>全世界株式</v>
      </c>
      <c r="E144">
        <f>E140</f>
        <v>50000</v>
      </c>
    </row>
    <row r="145" spans="1:5" ht="18.75" customHeight="1">
      <c r="A145" s="3">
        <f>EDATE(A141,1)</f>
        <v>45427</v>
      </c>
      <c r="B145" t="str">
        <f>B141</f>
        <v>iDeco</v>
      </c>
      <c r="C145" t="str">
        <f>C141</f>
        <v>ＳＢＩ・全世界株式インデックス・ファンド</v>
      </c>
      <c r="D145" t="str">
        <f>D141</f>
        <v>全世界株式</v>
      </c>
      <c r="E145">
        <f>E141</f>
        <v>9829</v>
      </c>
    </row>
    <row r="146" spans="1:5" ht="18.75" customHeight="1">
      <c r="A146" s="3">
        <f>EDATE(A142,1)</f>
        <v>45444</v>
      </c>
      <c r="B146" t="str">
        <f>B142</f>
        <v>NISA(成長)</v>
      </c>
      <c r="C146" t="str">
        <f>C142</f>
        <v>eMAXIS Slim 全世界株式（オール・カントリー）</v>
      </c>
      <c r="D146" t="str">
        <f>D142</f>
        <v>全世界株式</v>
      </c>
      <c r="E146">
        <f>E142</f>
        <v>200000</v>
      </c>
    </row>
    <row r="147" spans="1:5" ht="18.75" customHeight="1">
      <c r="A147" s="3">
        <f>EDATE(A143,1)</f>
        <v>45444</v>
      </c>
      <c r="B147" t="str">
        <f>B143</f>
        <v>NISA(つみたて)</v>
      </c>
      <c r="C147" t="str">
        <f>C143</f>
        <v>eMAXIS Slim 全世界株式（オール・カントリー）</v>
      </c>
      <c r="D147" t="str">
        <f>D143</f>
        <v>全世界株式</v>
      </c>
      <c r="E147">
        <f>E143</f>
        <v>50000</v>
      </c>
    </row>
    <row r="148" spans="1:5" ht="18.75" customHeight="1">
      <c r="A148" s="3">
        <f>EDATE(A144,1)</f>
        <v>45444</v>
      </c>
      <c r="B148" t="str">
        <f>B144</f>
        <v>NISA(つみたて)</v>
      </c>
      <c r="C148" t="str">
        <f>C144</f>
        <v>eMAXIS Slim 全世界株式（オール・カントリー）</v>
      </c>
      <c r="D148" t="str">
        <f>D144</f>
        <v>全世界株式</v>
      </c>
      <c r="E148">
        <f>E144</f>
        <v>50000</v>
      </c>
    </row>
    <row r="149" spans="1:5" ht="18.75" customHeight="1">
      <c r="A149" s="3">
        <f>EDATE(A145,1)</f>
        <v>45458</v>
      </c>
      <c r="B149" t="str">
        <f>B145</f>
        <v>iDeco</v>
      </c>
      <c r="C149" t="str">
        <f>C145</f>
        <v>ＳＢＩ・全世界株式インデックス・ファンド</v>
      </c>
      <c r="D149" t="str">
        <f>D145</f>
        <v>全世界株式</v>
      </c>
      <c r="E149">
        <f>E145</f>
        <v>9829</v>
      </c>
    </row>
    <row r="150" spans="1:5" ht="18.75" customHeight="1">
      <c r="A150" s="3">
        <f>EDATE(A146,1)</f>
        <v>45474</v>
      </c>
      <c r="B150" t="str">
        <f>B146</f>
        <v>NISA(成長)</v>
      </c>
      <c r="C150" t="str">
        <f>C146</f>
        <v>eMAXIS Slim 全世界株式（オール・カントリー）</v>
      </c>
      <c r="D150" t="str">
        <f>D146</f>
        <v>全世界株式</v>
      </c>
      <c r="E150">
        <f>E146</f>
        <v>200000</v>
      </c>
    </row>
    <row r="151" spans="1:5" ht="18.75" customHeight="1">
      <c r="A151" s="3">
        <f>EDATE(A147,1)</f>
        <v>45474</v>
      </c>
      <c r="B151" t="str">
        <f>B147</f>
        <v>NISA(つみたて)</v>
      </c>
      <c r="C151" t="str">
        <f>C147</f>
        <v>eMAXIS Slim 全世界株式（オール・カントリー）</v>
      </c>
      <c r="D151" t="str">
        <f>D147</f>
        <v>全世界株式</v>
      </c>
      <c r="E151">
        <f>E147</f>
        <v>50000</v>
      </c>
    </row>
    <row r="152" spans="1:5" ht="18.75" customHeight="1">
      <c r="A152" s="3">
        <f>EDATE(A148,1)</f>
        <v>45474</v>
      </c>
      <c r="B152" t="str">
        <f>B148</f>
        <v>NISA(つみたて)</v>
      </c>
      <c r="C152" t="str">
        <f>C148</f>
        <v>eMAXIS Slim 全世界株式（オール・カントリー）</v>
      </c>
      <c r="D152" t="str">
        <f>D148</f>
        <v>全世界株式</v>
      </c>
      <c r="E152">
        <f>E148</f>
        <v>50000</v>
      </c>
    </row>
    <row r="153" spans="1:5" ht="18.75" customHeight="1">
      <c r="A153" s="3">
        <f>EDATE(A149,1)</f>
        <v>45488</v>
      </c>
      <c r="B153" t="str">
        <f>B149</f>
        <v>iDeco</v>
      </c>
      <c r="C153" t="str">
        <f>C149</f>
        <v>ＳＢＩ・全世界株式インデックス・ファンド</v>
      </c>
      <c r="D153" t="str">
        <f>D149</f>
        <v>全世界株式</v>
      </c>
      <c r="E153">
        <f>E149</f>
        <v>9829</v>
      </c>
    </row>
    <row r="154" spans="1:5" ht="18.75" customHeight="1">
      <c r="A154" s="3">
        <f>EDATE(A150,1)</f>
        <v>45505</v>
      </c>
      <c r="B154" t="str">
        <f>B150</f>
        <v>NISA(成長)</v>
      </c>
      <c r="C154" t="str">
        <f>C150</f>
        <v>eMAXIS Slim 全世界株式（オール・カントリー）</v>
      </c>
      <c r="D154" t="str">
        <f>D150</f>
        <v>全世界株式</v>
      </c>
      <c r="E154">
        <f>E150</f>
        <v>200000</v>
      </c>
    </row>
    <row r="155" spans="1:5" ht="18.75" customHeight="1">
      <c r="A155" s="3">
        <f>EDATE(A151,1)</f>
        <v>45505</v>
      </c>
      <c r="B155" t="str">
        <f>B151</f>
        <v>NISA(つみたて)</v>
      </c>
      <c r="C155" t="str">
        <f>C151</f>
        <v>eMAXIS Slim 全世界株式（オール・カントリー）</v>
      </c>
      <c r="D155" t="str">
        <f>D151</f>
        <v>全世界株式</v>
      </c>
      <c r="E155">
        <f>E151</f>
        <v>50000</v>
      </c>
    </row>
    <row r="156" spans="1:5" ht="18.75" customHeight="1">
      <c r="A156" s="3">
        <f>EDATE(A152,1)</f>
        <v>45505</v>
      </c>
      <c r="B156" t="str">
        <f>B152</f>
        <v>NISA(つみたて)</v>
      </c>
      <c r="C156" t="str">
        <f>C152</f>
        <v>eMAXIS Slim 全世界株式（オール・カントリー）</v>
      </c>
      <c r="D156" t="str">
        <f>D152</f>
        <v>全世界株式</v>
      </c>
      <c r="E156">
        <f>E152</f>
        <v>50000</v>
      </c>
    </row>
    <row r="157" spans="1:5" ht="18.75" customHeight="1">
      <c r="A157" s="3">
        <f>EDATE(A153,1)</f>
        <v>45519</v>
      </c>
      <c r="B157" t="str">
        <f>B153</f>
        <v>iDeco</v>
      </c>
      <c r="C157" t="str">
        <f>C153</f>
        <v>ＳＢＩ・全世界株式インデックス・ファンド</v>
      </c>
      <c r="D157" t="str">
        <f>D153</f>
        <v>全世界株式</v>
      </c>
      <c r="E157">
        <f>E153</f>
        <v>9829</v>
      </c>
    </row>
    <row r="158" spans="1:5" ht="18.75" customHeight="1">
      <c r="A158" s="3">
        <f>EDATE(A154,1)</f>
        <v>45536</v>
      </c>
      <c r="B158" t="str">
        <f>B154</f>
        <v>NISA(成長)</v>
      </c>
      <c r="C158" t="str">
        <f>C154</f>
        <v>eMAXIS Slim 全世界株式（オール・カントリー）</v>
      </c>
      <c r="D158" t="str">
        <f>D154</f>
        <v>全世界株式</v>
      </c>
      <c r="E158">
        <f>E154</f>
        <v>200000</v>
      </c>
    </row>
    <row r="159" spans="1:5" ht="18.75" customHeight="1">
      <c r="A159" s="3">
        <f>EDATE(A155,1)</f>
        <v>45536</v>
      </c>
      <c r="B159" t="str">
        <f>B155</f>
        <v>NISA(つみたて)</v>
      </c>
      <c r="C159" t="str">
        <f>C155</f>
        <v>eMAXIS Slim 全世界株式（オール・カントリー）</v>
      </c>
      <c r="D159" t="str">
        <f>D155</f>
        <v>全世界株式</v>
      </c>
      <c r="E159">
        <f>E155</f>
        <v>50000</v>
      </c>
    </row>
    <row r="160" spans="1:5" ht="18.75" customHeight="1">
      <c r="A160" s="3">
        <f>EDATE(A156,1)</f>
        <v>45536</v>
      </c>
      <c r="B160" t="str">
        <f>B156</f>
        <v>NISA(つみたて)</v>
      </c>
      <c r="C160" t="str">
        <f>C156</f>
        <v>eMAXIS Slim 全世界株式（オール・カントリー）</v>
      </c>
      <c r="D160" t="str">
        <f>D156</f>
        <v>全世界株式</v>
      </c>
      <c r="E160">
        <f>E156</f>
        <v>50000</v>
      </c>
    </row>
    <row r="161" spans="1:5" ht="18.75" customHeight="1">
      <c r="A161" s="3">
        <f>EDATE(A157,1)</f>
        <v>45550</v>
      </c>
      <c r="B161" t="str">
        <f>B157</f>
        <v>iDeco</v>
      </c>
      <c r="C161" t="str">
        <f>C157</f>
        <v>ＳＢＩ・全世界株式インデックス・ファンド</v>
      </c>
      <c r="D161" t="str">
        <f>D157</f>
        <v>全世界株式</v>
      </c>
      <c r="E161">
        <f>E157</f>
        <v>9829</v>
      </c>
    </row>
    <row r="162" spans="1:5" ht="18.75" customHeight="1">
      <c r="A162" s="3">
        <f>EDATE(A158,1)</f>
        <v>45566</v>
      </c>
      <c r="B162" t="str">
        <f>B158</f>
        <v>NISA(成長)</v>
      </c>
      <c r="C162" t="str">
        <f>C158</f>
        <v>eMAXIS Slim 全世界株式（オール・カントリー）</v>
      </c>
      <c r="D162" t="str">
        <f>D158</f>
        <v>全世界株式</v>
      </c>
      <c r="E162">
        <f>E158</f>
        <v>200000</v>
      </c>
    </row>
    <row r="163" spans="1:5" ht="18.75" customHeight="1">
      <c r="A163" s="3">
        <f>EDATE(A159,1)</f>
        <v>45566</v>
      </c>
      <c r="B163" t="str">
        <f>B159</f>
        <v>NISA(つみたて)</v>
      </c>
      <c r="C163" t="str">
        <f>C159</f>
        <v>eMAXIS Slim 全世界株式（オール・カントリー）</v>
      </c>
      <c r="D163" t="str">
        <f>D159</f>
        <v>全世界株式</v>
      </c>
      <c r="E163">
        <f>E159</f>
        <v>50000</v>
      </c>
    </row>
    <row r="164" spans="1:5" ht="18.75" customHeight="1">
      <c r="A164" s="3">
        <f>EDATE(A160,1)</f>
        <v>45566</v>
      </c>
      <c r="B164" t="str">
        <f>B160</f>
        <v>NISA(つみたて)</v>
      </c>
      <c r="C164" t="str">
        <f>C160</f>
        <v>eMAXIS Slim 全世界株式（オール・カントリー）</v>
      </c>
      <c r="D164" t="str">
        <f>D160</f>
        <v>全世界株式</v>
      </c>
      <c r="E164">
        <f>E160</f>
        <v>50000</v>
      </c>
    </row>
    <row r="165" spans="1:5" ht="18.75" customHeight="1">
      <c r="A165" s="3">
        <f>EDATE(A161,1)</f>
        <v>45580</v>
      </c>
      <c r="B165" t="str">
        <f>B161</f>
        <v>iDeco</v>
      </c>
      <c r="C165" t="str">
        <f>C161</f>
        <v>ＳＢＩ・全世界株式インデックス・ファンド</v>
      </c>
      <c r="D165" t="str">
        <f>D161</f>
        <v>全世界株式</v>
      </c>
      <c r="E165">
        <f>E161</f>
        <v>9829</v>
      </c>
    </row>
    <row r="166" spans="1:5" ht="18.75" customHeight="1">
      <c r="A166" s="3">
        <f>EDATE(A162,1)</f>
        <v>45597</v>
      </c>
      <c r="B166" t="str">
        <f>B162</f>
        <v>NISA(成長)</v>
      </c>
      <c r="C166" t="str">
        <f>C162</f>
        <v>eMAXIS Slim 全世界株式（オール・カントリー）</v>
      </c>
      <c r="D166" t="str">
        <f>D162</f>
        <v>全世界株式</v>
      </c>
      <c r="E166">
        <f>E162</f>
        <v>200000</v>
      </c>
    </row>
    <row r="167" spans="1:5" ht="18.75" customHeight="1">
      <c r="A167" s="3">
        <f>EDATE(A163,1)</f>
        <v>45597</v>
      </c>
      <c r="B167" t="str">
        <f>B163</f>
        <v>NISA(つみたて)</v>
      </c>
      <c r="C167" t="str">
        <f>C163</f>
        <v>eMAXIS Slim 全世界株式（オール・カントリー）</v>
      </c>
      <c r="D167" t="str">
        <f>D163</f>
        <v>全世界株式</v>
      </c>
      <c r="E167">
        <f>E163</f>
        <v>50000</v>
      </c>
    </row>
    <row r="168" spans="1:5" ht="18.75" customHeight="1">
      <c r="A168" s="3">
        <f>EDATE(A164,1)</f>
        <v>45597</v>
      </c>
      <c r="B168" t="str">
        <f>B164</f>
        <v>NISA(つみたて)</v>
      </c>
      <c r="C168" t="str">
        <f>C164</f>
        <v>eMAXIS Slim 全世界株式（オール・カントリー）</v>
      </c>
      <c r="D168" t="str">
        <f>D164</f>
        <v>全世界株式</v>
      </c>
      <c r="E168">
        <f>E164</f>
        <v>50000</v>
      </c>
    </row>
    <row r="169" spans="1:5" ht="18.75" customHeight="1">
      <c r="A169" s="3">
        <f>EDATE(A165,1)</f>
        <v>45611</v>
      </c>
      <c r="B169" t="str">
        <f>B165</f>
        <v>iDeco</v>
      </c>
      <c r="C169" t="str">
        <f>C165</f>
        <v>ＳＢＩ・全世界株式インデックス・ファンド</v>
      </c>
      <c r="D169" t="str">
        <f>D165</f>
        <v>全世界株式</v>
      </c>
      <c r="E169">
        <f>E165</f>
        <v>9829</v>
      </c>
    </row>
    <row r="170" spans="1:5" ht="18.75" customHeight="1">
      <c r="A170" s="3">
        <f>EDATE(A166,1)</f>
        <v>45627</v>
      </c>
      <c r="B170" t="str">
        <f>B166</f>
        <v>NISA(成長)</v>
      </c>
      <c r="C170" t="str">
        <f>C166</f>
        <v>eMAXIS Slim 全世界株式（オール・カントリー）</v>
      </c>
      <c r="D170" t="str">
        <f>D166</f>
        <v>全世界株式</v>
      </c>
      <c r="E170">
        <f>E166</f>
        <v>200000</v>
      </c>
    </row>
    <row r="171" spans="1:5" ht="18.75" customHeight="1">
      <c r="A171" s="3">
        <f>EDATE(A167,1)</f>
        <v>45627</v>
      </c>
      <c r="B171" t="str">
        <f>B167</f>
        <v>NISA(つみたて)</v>
      </c>
      <c r="C171" t="str">
        <f>C167</f>
        <v>eMAXIS Slim 全世界株式（オール・カントリー）</v>
      </c>
      <c r="D171" t="str">
        <f>D167</f>
        <v>全世界株式</v>
      </c>
      <c r="E171">
        <f>E167</f>
        <v>50000</v>
      </c>
    </row>
    <row r="172" spans="1:5" ht="18.75" customHeight="1">
      <c r="A172" s="3">
        <f>EDATE(A168,1)</f>
        <v>45627</v>
      </c>
      <c r="B172" t="str">
        <f>B168</f>
        <v>NISA(つみたて)</v>
      </c>
      <c r="C172" t="str">
        <f>C168</f>
        <v>eMAXIS Slim 全世界株式（オール・カントリー）</v>
      </c>
      <c r="D172" t="str">
        <f>D168</f>
        <v>全世界株式</v>
      </c>
      <c r="E172">
        <f>E168</f>
        <v>50000</v>
      </c>
    </row>
    <row r="173" spans="1:5" ht="18.75" customHeight="1">
      <c r="A173" s="3">
        <f>EDATE(A169,1)</f>
        <v>45641</v>
      </c>
      <c r="B173" t="str">
        <f>B169</f>
        <v>iDeco</v>
      </c>
      <c r="C173" t="str">
        <f>C169</f>
        <v>ＳＢＩ・全世界株式インデックス・ファンド</v>
      </c>
      <c r="D173" t="str">
        <f>D169</f>
        <v>全世界株式</v>
      </c>
      <c r="E173">
        <f>E169</f>
        <v>9829</v>
      </c>
    </row>
    <row r="174" spans="1:5" ht="18.75" customHeight="1">
      <c r="A174" s="3">
        <f>EDATE(A170,1)</f>
        <v>45658</v>
      </c>
      <c r="B174" t="str">
        <f>B170</f>
        <v>NISA(成長)</v>
      </c>
      <c r="C174" t="str">
        <f>C170</f>
        <v>eMAXIS Slim 全世界株式（オール・カントリー）</v>
      </c>
      <c r="D174" t="str">
        <f>D170</f>
        <v>全世界株式</v>
      </c>
      <c r="E174">
        <f>E170</f>
        <v>200000</v>
      </c>
    </row>
    <row r="175" spans="1:5" ht="18.75" customHeight="1">
      <c r="A175" s="3">
        <f>EDATE(A171,1)</f>
        <v>45658</v>
      </c>
      <c r="B175" t="str">
        <f>B171</f>
        <v>NISA(つみたて)</v>
      </c>
      <c r="C175" t="str">
        <f>C171</f>
        <v>eMAXIS Slim 全世界株式（オール・カントリー）</v>
      </c>
      <c r="D175" t="str">
        <f>D171</f>
        <v>全世界株式</v>
      </c>
      <c r="E175">
        <f>E171</f>
        <v>50000</v>
      </c>
    </row>
    <row r="176" spans="1:5" ht="18.75" customHeight="1">
      <c r="A176" s="3">
        <f>EDATE(A172,1)</f>
        <v>45658</v>
      </c>
      <c r="B176" t="str">
        <f>B172</f>
        <v>NISA(つみたて)</v>
      </c>
      <c r="C176" t="str">
        <f>C172</f>
        <v>eMAXIS Slim 全世界株式（オール・カントリー）</v>
      </c>
      <c r="D176" t="str">
        <f>D172</f>
        <v>全世界株式</v>
      </c>
      <c r="E176">
        <f>E172</f>
        <v>50000</v>
      </c>
    </row>
    <row r="177" spans="1:5" ht="18.75" customHeight="1">
      <c r="A177" s="3">
        <f>EDATE(A173,1)</f>
        <v>45672</v>
      </c>
      <c r="B177" t="str">
        <f>B173</f>
        <v>iDeco</v>
      </c>
      <c r="C177" t="str">
        <f>C173</f>
        <v>ＳＢＩ・全世界株式インデックス・ファンド</v>
      </c>
      <c r="D177" t="str">
        <f>D173</f>
        <v>全世界株式</v>
      </c>
      <c r="E177">
        <f>E173</f>
        <v>9829</v>
      </c>
    </row>
    <row r="178" spans="1:5" ht="18.75" customHeight="1">
      <c r="A178" s="3">
        <f>EDATE(A174,1)</f>
        <v>45689</v>
      </c>
      <c r="B178" t="str">
        <f>B174</f>
        <v>NISA(成長)</v>
      </c>
      <c r="C178" t="str">
        <f>C174</f>
        <v>eMAXIS Slim 全世界株式（オール・カントリー）</v>
      </c>
      <c r="D178" t="str">
        <f>D174</f>
        <v>全世界株式</v>
      </c>
      <c r="E178">
        <f>E174</f>
        <v>200000</v>
      </c>
    </row>
    <row r="179" spans="1:5" ht="18.75" customHeight="1">
      <c r="A179" s="3">
        <f>EDATE(A175,1)</f>
        <v>45689</v>
      </c>
      <c r="B179" t="str">
        <f>B175</f>
        <v>NISA(つみたて)</v>
      </c>
      <c r="C179" t="str">
        <f>C175</f>
        <v>eMAXIS Slim 全世界株式（オール・カントリー）</v>
      </c>
      <c r="D179" t="str">
        <f>D175</f>
        <v>全世界株式</v>
      </c>
      <c r="E179">
        <f>E175</f>
        <v>50000</v>
      </c>
    </row>
    <row r="180" spans="1:5" ht="18.75" customHeight="1">
      <c r="A180" s="3">
        <f>EDATE(A176,1)</f>
        <v>45689</v>
      </c>
      <c r="B180" t="str">
        <f>B176</f>
        <v>NISA(つみたて)</v>
      </c>
      <c r="C180" t="str">
        <f>C176</f>
        <v>eMAXIS Slim 全世界株式（オール・カントリー）</v>
      </c>
      <c r="D180" t="str">
        <f>D176</f>
        <v>全世界株式</v>
      </c>
      <c r="E180">
        <f>E176</f>
        <v>50000</v>
      </c>
    </row>
    <row r="181" spans="1:5" ht="18.75" customHeight="1">
      <c r="A181" s="3">
        <f>EDATE(A177,1)</f>
        <v>45703</v>
      </c>
      <c r="B181" t="str">
        <f>B177</f>
        <v>iDeco</v>
      </c>
      <c r="C181" t="str">
        <f>C177</f>
        <v>ＳＢＩ・全世界株式インデックス・ファンド</v>
      </c>
      <c r="D181" t="str">
        <f>D177</f>
        <v>全世界株式</v>
      </c>
      <c r="E181">
        <f>E177</f>
        <v>9829</v>
      </c>
    </row>
    <row r="182" spans="1:5" ht="18.75" customHeight="1">
      <c r="A182" s="3">
        <f>EDATE(A178,1)</f>
        <v>45717</v>
      </c>
      <c r="B182" t="str">
        <f>B178</f>
        <v>NISA(成長)</v>
      </c>
      <c r="C182" t="str">
        <f>C178</f>
        <v>eMAXIS Slim 全世界株式（オール・カントリー）</v>
      </c>
      <c r="D182" t="str">
        <f>D178</f>
        <v>全世界株式</v>
      </c>
      <c r="E182">
        <f>E178</f>
        <v>200000</v>
      </c>
    </row>
    <row r="183" spans="1:5" ht="18.75" customHeight="1">
      <c r="A183" s="3">
        <f>EDATE(A179,1)</f>
        <v>45717</v>
      </c>
      <c r="B183" t="str">
        <f>B179</f>
        <v>NISA(つみたて)</v>
      </c>
      <c r="C183" t="str">
        <f>C179</f>
        <v>eMAXIS Slim 全世界株式（オール・カントリー）</v>
      </c>
      <c r="D183" t="str">
        <f>D179</f>
        <v>全世界株式</v>
      </c>
      <c r="E183">
        <f>E179</f>
        <v>50000</v>
      </c>
    </row>
    <row r="184" spans="1:5" ht="18.75" customHeight="1">
      <c r="A184" s="3">
        <f>EDATE(A180,1)</f>
        <v>45717</v>
      </c>
      <c r="B184" t="str">
        <f>B180</f>
        <v>NISA(つみたて)</v>
      </c>
      <c r="C184" t="str">
        <f>C180</f>
        <v>eMAXIS Slim 全世界株式（オール・カントリー）</v>
      </c>
      <c r="D184" t="str">
        <f>D180</f>
        <v>全世界株式</v>
      </c>
      <c r="E184">
        <f>E180</f>
        <v>50000</v>
      </c>
    </row>
    <row r="185" spans="1:5" ht="18.75" customHeight="1">
      <c r="A185" s="3">
        <f>EDATE(A181,1)</f>
        <v>45731</v>
      </c>
      <c r="B185" t="str">
        <f>B181</f>
        <v>iDeco</v>
      </c>
      <c r="C185" t="str">
        <f>C181</f>
        <v>ＳＢＩ・全世界株式インデックス・ファンド</v>
      </c>
      <c r="D185" t="str">
        <f>D181</f>
        <v>全世界株式</v>
      </c>
      <c r="E185">
        <f>E181</f>
        <v>9829</v>
      </c>
    </row>
    <row r="186" spans="1:5" ht="18.75" customHeight="1">
      <c r="A186" s="3">
        <f>EDATE(A182,1)</f>
        <v>45748</v>
      </c>
      <c r="B186" t="str">
        <f>B182</f>
        <v>NISA(成長)</v>
      </c>
      <c r="C186" t="str">
        <f>C182</f>
        <v>eMAXIS Slim 全世界株式（オール・カントリー）</v>
      </c>
      <c r="D186" t="str">
        <f>D182</f>
        <v>全世界株式</v>
      </c>
      <c r="E186">
        <f>E182</f>
        <v>200000</v>
      </c>
    </row>
    <row r="187" spans="1:5" ht="18.75" customHeight="1">
      <c r="A187" s="3">
        <f>EDATE(A183,1)</f>
        <v>45748</v>
      </c>
      <c r="B187" t="str">
        <f>B183</f>
        <v>NISA(つみたて)</v>
      </c>
      <c r="C187" t="str">
        <f>C183</f>
        <v>eMAXIS Slim 全世界株式（オール・カントリー）</v>
      </c>
      <c r="D187" t="str">
        <f>D183</f>
        <v>全世界株式</v>
      </c>
      <c r="E187">
        <f>E183</f>
        <v>50000</v>
      </c>
    </row>
    <row r="188" spans="1:5" ht="18.75" customHeight="1">
      <c r="A188" s="3">
        <f>EDATE(A184,1)</f>
        <v>45748</v>
      </c>
      <c r="B188" t="str">
        <f>B184</f>
        <v>NISA(つみたて)</v>
      </c>
      <c r="C188" t="str">
        <f>C184</f>
        <v>eMAXIS Slim 全世界株式（オール・カントリー）</v>
      </c>
      <c r="D188" t="str">
        <f>D184</f>
        <v>全世界株式</v>
      </c>
      <c r="E188">
        <f>E184</f>
        <v>50000</v>
      </c>
    </row>
    <row r="189" spans="1:5" ht="18.75" customHeight="1">
      <c r="A189" s="3">
        <f>EDATE(A185,1)</f>
        <v>45762</v>
      </c>
      <c r="B189" t="str">
        <f>B185</f>
        <v>iDeco</v>
      </c>
      <c r="C189" t="str">
        <f>C185</f>
        <v>ＳＢＩ・全世界株式インデックス・ファンド</v>
      </c>
      <c r="D189" t="str">
        <f>D185</f>
        <v>全世界株式</v>
      </c>
      <c r="E189">
        <f>E185</f>
        <v>9829</v>
      </c>
    </row>
    <row r="190" spans="1:5" ht="18.75" customHeight="1">
      <c r="A190" s="3">
        <f>EDATE(A186,1)</f>
        <v>45778</v>
      </c>
      <c r="B190" t="str">
        <f>B186</f>
        <v>NISA(成長)</v>
      </c>
      <c r="C190" t="str">
        <f>C186</f>
        <v>eMAXIS Slim 全世界株式（オール・カントリー）</v>
      </c>
      <c r="D190" t="str">
        <f>D186</f>
        <v>全世界株式</v>
      </c>
      <c r="E190">
        <f>E186</f>
        <v>200000</v>
      </c>
    </row>
    <row r="191" spans="1:5" ht="18.75" customHeight="1">
      <c r="A191" s="3">
        <f>EDATE(A187,1)</f>
        <v>45778</v>
      </c>
      <c r="B191" t="str">
        <f>B187</f>
        <v>NISA(つみたて)</v>
      </c>
      <c r="C191" t="str">
        <f>C187</f>
        <v>eMAXIS Slim 全世界株式（オール・カントリー）</v>
      </c>
      <c r="D191" t="str">
        <f>D187</f>
        <v>全世界株式</v>
      </c>
      <c r="E191">
        <f>E187</f>
        <v>50000</v>
      </c>
    </row>
    <row r="192" spans="1:5" ht="18.75" customHeight="1">
      <c r="A192" s="3">
        <f>EDATE(A188,1)</f>
        <v>45778</v>
      </c>
      <c r="B192" t="str">
        <f>B188</f>
        <v>NISA(つみたて)</v>
      </c>
      <c r="C192" t="str">
        <f>C188</f>
        <v>eMAXIS Slim 全世界株式（オール・カントリー）</v>
      </c>
      <c r="D192" t="str">
        <f>D188</f>
        <v>全世界株式</v>
      </c>
      <c r="E192">
        <f>E188</f>
        <v>50000</v>
      </c>
    </row>
    <row r="193" spans="1:5" ht="18.75" customHeight="1">
      <c r="A193" s="3">
        <f>EDATE(A189,1)</f>
        <v>45792</v>
      </c>
      <c r="B193" t="str">
        <f>B189</f>
        <v>iDeco</v>
      </c>
      <c r="C193" t="str">
        <f>C189</f>
        <v>ＳＢＩ・全世界株式インデックス・ファンド</v>
      </c>
      <c r="D193" t="str">
        <f>D189</f>
        <v>全世界株式</v>
      </c>
      <c r="E193">
        <f>E189</f>
        <v>9829</v>
      </c>
    </row>
    <row r="194" spans="1:5" ht="18.75" customHeight="1">
      <c r="A194" s="3">
        <f>EDATE(A190,1)</f>
        <v>45809</v>
      </c>
      <c r="B194" t="str">
        <f>B190</f>
        <v>NISA(成長)</v>
      </c>
      <c r="C194" t="str">
        <f>C190</f>
        <v>eMAXIS Slim 全世界株式（オール・カントリー）</v>
      </c>
      <c r="D194" t="str">
        <f>D190</f>
        <v>全世界株式</v>
      </c>
      <c r="E194">
        <f>E190</f>
        <v>200000</v>
      </c>
    </row>
    <row r="195" spans="1:5" ht="18.75" customHeight="1">
      <c r="A195" s="3">
        <f>EDATE(A191,1)</f>
        <v>45809</v>
      </c>
      <c r="B195" t="str">
        <f>B191</f>
        <v>NISA(つみたて)</v>
      </c>
      <c r="C195" t="str">
        <f>C191</f>
        <v>eMAXIS Slim 全世界株式（オール・カントリー）</v>
      </c>
      <c r="D195" t="str">
        <f>D191</f>
        <v>全世界株式</v>
      </c>
      <c r="E195">
        <f>E191</f>
        <v>50000</v>
      </c>
    </row>
    <row r="196" spans="1:5" ht="18.75" customHeight="1">
      <c r="A196" s="3">
        <f>EDATE(A192,1)</f>
        <v>45809</v>
      </c>
      <c r="B196" t="str">
        <f>B192</f>
        <v>NISA(つみたて)</v>
      </c>
      <c r="C196" t="str">
        <f>C192</f>
        <v>eMAXIS Slim 全世界株式（オール・カントリー）</v>
      </c>
      <c r="D196" t="str">
        <f>D192</f>
        <v>全世界株式</v>
      </c>
      <c r="E196">
        <f>E192</f>
        <v>50000</v>
      </c>
    </row>
    <row r="197" spans="1:5" ht="18.75" customHeight="1">
      <c r="A197" s="3">
        <f>EDATE(A193,1)</f>
        <v>45823</v>
      </c>
      <c r="B197" t="str">
        <f>B193</f>
        <v>iDeco</v>
      </c>
      <c r="C197" t="str">
        <f>C193</f>
        <v>ＳＢＩ・全世界株式インデックス・ファンド</v>
      </c>
      <c r="D197" t="str">
        <f>D193</f>
        <v>全世界株式</v>
      </c>
      <c r="E197">
        <f>E193</f>
        <v>9829</v>
      </c>
    </row>
    <row r="198" spans="1:5" ht="18.75" customHeight="1">
      <c r="A198" s="3">
        <f>EDATE(A194,1)</f>
        <v>45839</v>
      </c>
      <c r="B198" t="str">
        <f>B194</f>
        <v>NISA(成長)</v>
      </c>
      <c r="C198" t="str">
        <f>C194</f>
        <v>eMAXIS Slim 全世界株式（オール・カントリー）</v>
      </c>
      <c r="D198" t="str">
        <f>D194</f>
        <v>全世界株式</v>
      </c>
      <c r="E198">
        <f>E194</f>
        <v>200000</v>
      </c>
    </row>
    <row r="199" spans="1:5" ht="18.75" customHeight="1">
      <c r="A199" s="3">
        <f>EDATE(A195,1)</f>
        <v>45839</v>
      </c>
      <c r="B199" t="str">
        <f>B195</f>
        <v>NISA(つみたて)</v>
      </c>
      <c r="C199" t="str">
        <f>C195</f>
        <v>eMAXIS Slim 全世界株式（オール・カントリー）</v>
      </c>
      <c r="D199" t="str">
        <f>D195</f>
        <v>全世界株式</v>
      </c>
      <c r="E199">
        <f>E195</f>
        <v>50000</v>
      </c>
    </row>
    <row r="200" spans="1:5" ht="18.75" customHeight="1">
      <c r="A200" s="3">
        <f>EDATE(A196,1)</f>
        <v>45839</v>
      </c>
      <c r="B200" t="str">
        <f>B196</f>
        <v>NISA(つみたて)</v>
      </c>
      <c r="C200" t="str">
        <f>C196</f>
        <v>eMAXIS Slim 全世界株式（オール・カントリー）</v>
      </c>
      <c r="D200" t="str">
        <f>D196</f>
        <v>全世界株式</v>
      </c>
      <c r="E200">
        <f>E196</f>
        <v>50000</v>
      </c>
    </row>
    <row r="201" spans="1:5" ht="18.75" customHeight="1">
      <c r="A201" s="3">
        <f>EDATE(A197,1)</f>
        <v>45853</v>
      </c>
      <c r="B201" t="str">
        <f>B197</f>
        <v>iDeco</v>
      </c>
      <c r="C201" t="str">
        <f>C197</f>
        <v>ＳＢＩ・全世界株式インデックス・ファンド</v>
      </c>
      <c r="D201" t="str">
        <f>D197</f>
        <v>全世界株式</v>
      </c>
      <c r="E201">
        <f>E197</f>
        <v>9829</v>
      </c>
    </row>
    <row r="202" spans="1:5" ht="18.75" customHeight="1">
      <c r="A202" s="3">
        <f>EDATE(A198,1)</f>
        <v>45870</v>
      </c>
      <c r="B202" t="str">
        <f>B198</f>
        <v>NISA(成長)</v>
      </c>
      <c r="C202" t="str">
        <f>C198</f>
        <v>eMAXIS Slim 全世界株式（オール・カントリー）</v>
      </c>
      <c r="D202" t="str">
        <f>D198</f>
        <v>全世界株式</v>
      </c>
      <c r="E202">
        <f>E198</f>
        <v>200000</v>
      </c>
    </row>
    <row r="203" spans="1:5" ht="18.75" customHeight="1">
      <c r="A203" s="3">
        <f>EDATE(A199,1)</f>
        <v>45870</v>
      </c>
      <c r="B203" t="str">
        <f>B199</f>
        <v>NISA(つみたて)</v>
      </c>
      <c r="C203" t="str">
        <f>C199</f>
        <v>eMAXIS Slim 全世界株式（オール・カントリー）</v>
      </c>
      <c r="D203" t="str">
        <f>D199</f>
        <v>全世界株式</v>
      </c>
      <c r="E203">
        <f>E199</f>
        <v>50000</v>
      </c>
    </row>
    <row r="204" spans="1:5" ht="18.75" customHeight="1">
      <c r="A204" s="3">
        <f>EDATE(A200,1)</f>
        <v>45870</v>
      </c>
      <c r="B204" t="str">
        <f>B200</f>
        <v>NISA(つみたて)</v>
      </c>
      <c r="C204" t="str">
        <f>C200</f>
        <v>eMAXIS Slim 全世界株式（オール・カントリー）</v>
      </c>
      <c r="D204" t="str">
        <f>D200</f>
        <v>全世界株式</v>
      </c>
      <c r="E204">
        <f>E200</f>
        <v>50000</v>
      </c>
    </row>
    <row r="205" spans="1:5" ht="18.75" customHeight="1">
      <c r="A205" s="3">
        <f>EDATE(A201,1)</f>
        <v>45884</v>
      </c>
      <c r="B205" t="str">
        <f>B201</f>
        <v>iDeco</v>
      </c>
      <c r="C205" t="str">
        <f>C201</f>
        <v>ＳＢＩ・全世界株式インデックス・ファンド</v>
      </c>
      <c r="D205" t="str">
        <f>D201</f>
        <v>全世界株式</v>
      </c>
      <c r="E205">
        <f>E201</f>
        <v>9829</v>
      </c>
    </row>
    <row r="206" spans="1:5" ht="18.75" customHeight="1">
      <c r="A206" s="3">
        <f>EDATE(A202,1)</f>
        <v>45901</v>
      </c>
      <c r="B206" t="str">
        <f>B202</f>
        <v>NISA(成長)</v>
      </c>
      <c r="C206" t="str">
        <f>C202</f>
        <v>eMAXIS Slim 全世界株式（オール・カントリー）</v>
      </c>
      <c r="D206" t="str">
        <f>D202</f>
        <v>全世界株式</v>
      </c>
      <c r="E206">
        <f>E202</f>
        <v>200000</v>
      </c>
    </row>
    <row r="207" spans="1:5" ht="18.75" customHeight="1">
      <c r="A207" s="3">
        <f>EDATE(A203,1)</f>
        <v>45901</v>
      </c>
      <c r="B207" t="str">
        <f>B203</f>
        <v>NISA(つみたて)</v>
      </c>
      <c r="C207" t="str">
        <f>C203</f>
        <v>eMAXIS Slim 全世界株式（オール・カントリー）</v>
      </c>
      <c r="D207" t="str">
        <f>D203</f>
        <v>全世界株式</v>
      </c>
      <c r="E207">
        <f>E203</f>
        <v>50000</v>
      </c>
    </row>
    <row r="208" spans="1:5" ht="18.75" customHeight="1">
      <c r="A208" s="3">
        <f>EDATE(A204,1)</f>
        <v>45901</v>
      </c>
      <c r="B208" t="str">
        <f>B204</f>
        <v>NISA(つみたて)</v>
      </c>
      <c r="C208" t="str">
        <f>C204</f>
        <v>eMAXIS Slim 全世界株式（オール・カントリー）</v>
      </c>
      <c r="D208" t="str">
        <f>D204</f>
        <v>全世界株式</v>
      </c>
      <c r="E208">
        <f>E204</f>
        <v>50000</v>
      </c>
    </row>
    <row r="209" spans="1:5" ht="18.75" customHeight="1">
      <c r="A209" s="3">
        <f>EDATE(A205,1)</f>
        <v>45915</v>
      </c>
      <c r="B209" t="str">
        <f>B205</f>
        <v>iDeco</v>
      </c>
      <c r="C209" t="str">
        <f>C205</f>
        <v>ＳＢＩ・全世界株式インデックス・ファンド</v>
      </c>
      <c r="D209" t="str">
        <f>D205</f>
        <v>全世界株式</v>
      </c>
      <c r="E209">
        <f>E205</f>
        <v>9829</v>
      </c>
    </row>
    <row r="210" spans="1:5" ht="18.75" customHeight="1">
      <c r="A210" s="3">
        <f>EDATE(A206,1)</f>
        <v>45931</v>
      </c>
      <c r="B210" t="str">
        <f>B206</f>
        <v>NISA(成長)</v>
      </c>
      <c r="C210" t="str">
        <f>C206</f>
        <v>eMAXIS Slim 全世界株式（オール・カントリー）</v>
      </c>
      <c r="D210" t="str">
        <f>D206</f>
        <v>全世界株式</v>
      </c>
      <c r="E210">
        <f>E206</f>
        <v>200000</v>
      </c>
    </row>
    <row r="211" spans="1:5" ht="18.75" customHeight="1">
      <c r="A211" s="3">
        <f>EDATE(A207,1)</f>
        <v>45931</v>
      </c>
      <c r="B211" t="str">
        <f>B207</f>
        <v>NISA(つみたて)</v>
      </c>
      <c r="C211" t="str">
        <f>C207</f>
        <v>eMAXIS Slim 全世界株式（オール・カントリー）</v>
      </c>
      <c r="D211" t="str">
        <f>D207</f>
        <v>全世界株式</v>
      </c>
      <c r="E211">
        <f>E207</f>
        <v>50000</v>
      </c>
    </row>
    <row r="212" spans="1:5" ht="18.75" customHeight="1">
      <c r="A212" s="3">
        <f>EDATE(A208,1)</f>
        <v>45931</v>
      </c>
      <c r="B212" t="str">
        <f>B208</f>
        <v>NISA(つみたて)</v>
      </c>
      <c r="C212" t="str">
        <f>C208</f>
        <v>eMAXIS Slim 全世界株式（オール・カントリー）</v>
      </c>
      <c r="D212" t="str">
        <f>D208</f>
        <v>全世界株式</v>
      </c>
      <c r="E212">
        <f>E208</f>
        <v>50000</v>
      </c>
    </row>
    <row r="213" spans="1:5" ht="18.75" customHeight="1">
      <c r="A213" s="3">
        <f>EDATE(A209,1)</f>
        <v>45945</v>
      </c>
      <c r="B213" t="str">
        <f>B209</f>
        <v>iDeco</v>
      </c>
      <c r="C213" t="str">
        <f>C209</f>
        <v>ＳＢＩ・全世界株式インデックス・ファンド</v>
      </c>
      <c r="D213" t="str">
        <f>D209</f>
        <v>全世界株式</v>
      </c>
      <c r="E213">
        <f>E209</f>
        <v>9829</v>
      </c>
    </row>
    <row r="214" spans="1:5" ht="18.75" customHeight="1">
      <c r="A214" s="3">
        <f>EDATE(A210,1)</f>
        <v>45962</v>
      </c>
      <c r="B214" t="str">
        <f>B210</f>
        <v>NISA(成長)</v>
      </c>
      <c r="C214" t="str">
        <f>C210</f>
        <v>eMAXIS Slim 全世界株式（オール・カントリー）</v>
      </c>
      <c r="D214" t="str">
        <f>D210</f>
        <v>全世界株式</v>
      </c>
      <c r="E214">
        <f>E210</f>
        <v>200000</v>
      </c>
    </row>
    <row r="215" spans="1:5" ht="18.75" customHeight="1">
      <c r="A215" s="3">
        <f>EDATE(A211,1)</f>
        <v>45962</v>
      </c>
      <c r="B215" t="str">
        <f>B211</f>
        <v>NISA(つみたて)</v>
      </c>
      <c r="C215" t="str">
        <f>C211</f>
        <v>eMAXIS Slim 全世界株式（オール・カントリー）</v>
      </c>
      <c r="D215" t="str">
        <f>D211</f>
        <v>全世界株式</v>
      </c>
      <c r="E215">
        <f>E211</f>
        <v>50000</v>
      </c>
    </row>
    <row r="216" spans="1:5" ht="18.75" customHeight="1">
      <c r="A216" s="3">
        <f>EDATE(A212,1)</f>
        <v>45962</v>
      </c>
      <c r="B216" t="str">
        <f>B212</f>
        <v>NISA(つみたて)</v>
      </c>
      <c r="C216" t="str">
        <f>C212</f>
        <v>eMAXIS Slim 全世界株式（オール・カントリー）</v>
      </c>
      <c r="D216" t="str">
        <f>D212</f>
        <v>全世界株式</v>
      </c>
      <c r="E216">
        <f>E212</f>
        <v>50000</v>
      </c>
    </row>
    <row r="217" spans="1:5" ht="18.75" customHeight="1">
      <c r="A217" s="3">
        <f>EDATE(A213,1)</f>
        <v>45976</v>
      </c>
      <c r="B217" t="str">
        <f>B213</f>
        <v>iDeco</v>
      </c>
      <c r="C217" t="str">
        <f>C213</f>
        <v>ＳＢＩ・全世界株式インデックス・ファンド</v>
      </c>
      <c r="D217" t="str">
        <f>D213</f>
        <v>全世界株式</v>
      </c>
      <c r="E217">
        <f>E213</f>
        <v>9829</v>
      </c>
    </row>
    <row r="218" spans="1:5" ht="18.75" customHeight="1">
      <c r="A218" s="3">
        <f>EDATE(A214,1)</f>
        <v>45992</v>
      </c>
      <c r="B218" t="str">
        <f>B214</f>
        <v>NISA(成長)</v>
      </c>
      <c r="C218" t="str">
        <f>C214</f>
        <v>eMAXIS Slim 全世界株式（オール・カントリー）</v>
      </c>
      <c r="D218" t="str">
        <f>D214</f>
        <v>全世界株式</v>
      </c>
      <c r="E218">
        <f>E214</f>
        <v>200000</v>
      </c>
    </row>
    <row r="219" spans="1:5" ht="18.75" customHeight="1">
      <c r="A219" s="3">
        <f>EDATE(A215,1)</f>
        <v>45992</v>
      </c>
      <c r="B219" t="str">
        <f>B215</f>
        <v>NISA(つみたて)</v>
      </c>
      <c r="C219" t="str">
        <f>C215</f>
        <v>eMAXIS Slim 全世界株式（オール・カントリー）</v>
      </c>
      <c r="D219" t="str">
        <f>D215</f>
        <v>全世界株式</v>
      </c>
      <c r="E219">
        <f>E215</f>
        <v>50000</v>
      </c>
    </row>
    <row r="220" spans="1:5" ht="18.75" customHeight="1">
      <c r="A220" s="3">
        <f>EDATE(A216,1)</f>
        <v>45992</v>
      </c>
      <c r="B220" t="str">
        <f>B216</f>
        <v>NISA(つみたて)</v>
      </c>
      <c r="C220" t="str">
        <f>C216</f>
        <v>eMAXIS Slim 全世界株式（オール・カントリー）</v>
      </c>
      <c r="D220" t="str">
        <f>D216</f>
        <v>全世界株式</v>
      </c>
      <c r="E220">
        <f>E216</f>
        <v>50000</v>
      </c>
    </row>
    <row r="221" spans="1:5" ht="18.75" customHeight="1">
      <c r="A221" s="3">
        <f>EDATE(A217,1)</f>
        <v>46006</v>
      </c>
      <c r="B221" t="str">
        <f>B217</f>
        <v>iDeco</v>
      </c>
      <c r="C221" t="str">
        <f>C217</f>
        <v>ＳＢＩ・全世界株式インデックス・ファンド</v>
      </c>
      <c r="D221" t="str">
        <f>D217</f>
        <v>全世界株式</v>
      </c>
      <c r="E221">
        <f>E217</f>
        <v>9829</v>
      </c>
    </row>
    <row r="222" spans="1:5" ht="18.75" customHeight="1">
      <c r="A222" s="3">
        <f>EDATE(A218,1)</f>
        <v>46023</v>
      </c>
      <c r="B222" t="str">
        <f>B218</f>
        <v>NISA(成長)</v>
      </c>
      <c r="C222" t="str">
        <f>C218</f>
        <v>eMAXIS Slim 全世界株式（オール・カントリー）</v>
      </c>
      <c r="D222" t="str">
        <f>D218</f>
        <v>全世界株式</v>
      </c>
      <c r="E222">
        <f>E218</f>
        <v>200000</v>
      </c>
    </row>
    <row r="223" spans="1:5" ht="18.75" customHeight="1">
      <c r="A223" s="3">
        <f>EDATE(A219,1)</f>
        <v>46023</v>
      </c>
      <c r="B223" t="str">
        <f>B219</f>
        <v>NISA(つみたて)</v>
      </c>
      <c r="C223" t="str">
        <f>C219</f>
        <v>eMAXIS Slim 全世界株式（オール・カントリー）</v>
      </c>
      <c r="D223" t="str">
        <f>D219</f>
        <v>全世界株式</v>
      </c>
      <c r="E223">
        <f>E219</f>
        <v>50000</v>
      </c>
    </row>
    <row r="224" spans="1:5" ht="18.75" customHeight="1">
      <c r="A224" s="3">
        <f>EDATE(A220,1)</f>
        <v>46023</v>
      </c>
      <c r="B224" t="str">
        <f>B220</f>
        <v>NISA(つみたて)</v>
      </c>
      <c r="C224" t="str">
        <f>C220</f>
        <v>eMAXIS Slim 全世界株式（オール・カントリー）</v>
      </c>
      <c r="D224" t="str">
        <f>D220</f>
        <v>全世界株式</v>
      </c>
      <c r="E224">
        <f>E220</f>
        <v>50000</v>
      </c>
    </row>
    <row r="225" spans="1:5" ht="18.75" customHeight="1">
      <c r="A225" s="3">
        <f>EDATE(A221,1)</f>
        <v>46037</v>
      </c>
      <c r="B225" t="str">
        <f>B221</f>
        <v>iDeco</v>
      </c>
      <c r="C225" t="str">
        <f>C221</f>
        <v>ＳＢＩ・全世界株式インデックス・ファンド</v>
      </c>
      <c r="D225" t="str">
        <f>D221</f>
        <v>全世界株式</v>
      </c>
      <c r="E225">
        <f>E221</f>
        <v>9829</v>
      </c>
    </row>
    <row r="226" spans="1:5" ht="18.75" customHeight="1">
      <c r="A226" s="3">
        <f>EDATE(A222,1)</f>
        <v>46054</v>
      </c>
      <c r="B226" t="str">
        <f>B222</f>
        <v>NISA(成長)</v>
      </c>
      <c r="C226" t="str">
        <f>C222</f>
        <v>eMAXIS Slim 全世界株式（オール・カントリー）</v>
      </c>
      <c r="D226" t="str">
        <f>D222</f>
        <v>全世界株式</v>
      </c>
      <c r="E226">
        <f>E222</f>
        <v>200000</v>
      </c>
    </row>
    <row r="227" spans="1:5" ht="18.75" customHeight="1">
      <c r="A227" s="3">
        <f>EDATE(A223,1)</f>
        <v>46054</v>
      </c>
      <c r="B227" t="str">
        <f>B223</f>
        <v>NISA(つみたて)</v>
      </c>
      <c r="C227" t="str">
        <f>C223</f>
        <v>eMAXIS Slim 全世界株式（オール・カントリー）</v>
      </c>
      <c r="D227" t="str">
        <f>D223</f>
        <v>全世界株式</v>
      </c>
      <c r="E227">
        <f>E223</f>
        <v>50000</v>
      </c>
    </row>
    <row r="228" spans="1:5" ht="18.75" customHeight="1">
      <c r="A228" s="3">
        <f>EDATE(A224,1)</f>
        <v>46054</v>
      </c>
      <c r="B228" t="str">
        <f>B224</f>
        <v>NISA(つみたて)</v>
      </c>
      <c r="C228" t="str">
        <f>C224</f>
        <v>eMAXIS Slim 全世界株式（オール・カントリー）</v>
      </c>
      <c r="D228" t="str">
        <f>D224</f>
        <v>全世界株式</v>
      </c>
      <c r="E228">
        <f>E224</f>
        <v>50000</v>
      </c>
    </row>
    <row r="229" spans="1:5" ht="18.75" customHeight="1">
      <c r="A229" s="3">
        <f>EDATE(A225,1)</f>
        <v>46068</v>
      </c>
      <c r="B229" t="str">
        <f>B225</f>
        <v>iDeco</v>
      </c>
      <c r="C229" t="str">
        <f>C225</f>
        <v>ＳＢＩ・全世界株式インデックス・ファンド</v>
      </c>
      <c r="D229" t="str">
        <f>D225</f>
        <v>全世界株式</v>
      </c>
      <c r="E229">
        <f>E225</f>
        <v>9829</v>
      </c>
    </row>
    <row r="230" spans="1:5" ht="18.75" customHeight="1">
      <c r="A230" s="3">
        <f>EDATE(A226,1)</f>
        <v>46082</v>
      </c>
      <c r="B230" t="str">
        <f>B226</f>
        <v>NISA(成長)</v>
      </c>
      <c r="C230" t="str">
        <f>C226</f>
        <v>eMAXIS Slim 全世界株式（オール・カントリー）</v>
      </c>
      <c r="D230" t="str">
        <f>D226</f>
        <v>全世界株式</v>
      </c>
      <c r="E230">
        <f>E226</f>
        <v>200000</v>
      </c>
    </row>
    <row r="231" spans="1:5" ht="18.75" customHeight="1">
      <c r="A231" s="3">
        <f>EDATE(A227,1)</f>
        <v>46082</v>
      </c>
      <c r="B231" t="str">
        <f>B227</f>
        <v>NISA(つみたて)</v>
      </c>
      <c r="C231" t="str">
        <f>C227</f>
        <v>eMAXIS Slim 全世界株式（オール・カントリー）</v>
      </c>
      <c r="D231" t="str">
        <f>D227</f>
        <v>全世界株式</v>
      </c>
      <c r="E231">
        <f>E227</f>
        <v>50000</v>
      </c>
    </row>
    <row r="232" spans="1:5" ht="18.75" customHeight="1">
      <c r="A232" s="3">
        <f>EDATE(A228,1)</f>
        <v>46082</v>
      </c>
      <c r="B232" t="str">
        <f>B228</f>
        <v>NISA(つみたて)</v>
      </c>
      <c r="C232" t="str">
        <f>C228</f>
        <v>eMAXIS Slim 全世界株式（オール・カントリー）</v>
      </c>
      <c r="D232" t="str">
        <f>D228</f>
        <v>全世界株式</v>
      </c>
      <c r="E232">
        <f>E228</f>
        <v>50000</v>
      </c>
    </row>
    <row r="233" spans="1:5" ht="18.75" customHeight="1">
      <c r="A233" s="3">
        <f>EDATE(A229,1)</f>
        <v>46096</v>
      </c>
      <c r="B233" t="str">
        <f>B229</f>
        <v>iDeco</v>
      </c>
      <c r="C233" t="str">
        <f>C229</f>
        <v>ＳＢＩ・全世界株式インデックス・ファンド</v>
      </c>
      <c r="D233" t="str">
        <f>D229</f>
        <v>全世界株式</v>
      </c>
      <c r="E233">
        <f>E229</f>
        <v>9829</v>
      </c>
    </row>
    <row r="234" spans="1:5" ht="18.75" customHeight="1">
      <c r="A234" s="3">
        <f>EDATE(A230,1)</f>
        <v>46113</v>
      </c>
      <c r="B234" t="str">
        <f>B230</f>
        <v>NISA(成長)</v>
      </c>
      <c r="C234" t="str">
        <f>C230</f>
        <v>eMAXIS Slim 全世界株式（オール・カントリー）</v>
      </c>
      <c r="D234" t="str">
        <f>D230</f>
        <v>全世界株式</v>
      </c>
      <c r="E234">
        <f>E230</f>
        <v>200000</v>
      </c>
    </row>
    <row r="235" spans="1:5" ht="18.75" customHeight="1">
      <c r="A235" s="3">
        <f>EDATE(A231,1)</f>
        <v>46113</v>
      </c>
      <c r="B235" t="str">
        <f>B231</f>
        <v>NISA(つみたて)</v>
      </c>
      <c r="C235" t="str">
        <f>C231</f>
        <v>eMAXIS Slim 全世界株式（オール・カントリー）</v>
      </c>
      <c r="D235" t="str">
        <f>D231</f>
        <v>全世界株式</v>
      </c>
      <c r="E235">
        <f>E231</f>
        <v>50000</v>
      </c>
    </row>
    <row r="236" spans="1:5" ht="18.75" customHeight="1">
      <c r="A236" s="3">
        <f>EDATE(A232,1)</f>
        <v>46113</v>
      </c>
      <c r="B236" t="str">
        <f>B232</f>
        <v>NISA(つみたて)</v>
      </c>
      <c r="C236" t="str">
        <f>C232</f>
        <v>eMAXIS Slim 全世界株式（オール・カントリー）</v>
      </c>
      <c r="D236" t="str">
        <f>D232</f>
        <v>全世界株式</v>
      </c>
      <c r="E236">
        <f>E232</f>
        <v>50000</v>
      </c>
    </row>
    <row r="237" spans="1:5" ht="18.75" customHeight="1">
      <c r="A237" s="3">
        <f>EDATE(A233,1)</f>
        <v>46127</v>
      </c>
      <c r="B237" t="str">
        <f>B233</f>
        <v>iDeco</v>
      </c>
      <c r="C237" t="str">
        <f>C233</f>
        <v>ＳＢＩ・全世界株式インデックス・ファンド</v>
      </c>
      <c r="D237" t="str">
        <f>D233</f>
        <v>全世界株式</v>
      </c>
      <c r="E237">
        <f>E233</f>
        <v>9829</v>
      </c>
    </row>
    <row r="238" spans="1:5" ht="18.75" customHeight="1">
      <c r="A238" s="3">
        <f>EDATE(A234,1)</f>
        <v>46143</v>
      </c>
      <c r="B238" t="str">
        <f>B234</f>
        <v>NISA(成長)</v>
      </c>
      <c r="C238" t="str">
        <f>C234</f>
        <v>eMAXIS Slim 全世界株式（オール・カントリー）</v>
      </c>
      <c r="D238" t="str">
        <f>D234</f>
        <v>全世界株式</v>
      </c>
      <c r="E238">
        <f>E234</f>
        <v>200000</v>
      </c>
    </row>
    <row r="239" spans="1:5" ht="18.75" customHeight="1">
      <c r="A239" s="3">
        <f>EDATE(A235,1)</f>
        <v>46143</v>
      </c>
      <c r="B239" t="str">
        <f>B235</f>
        <v>NISA(つみたて)</v>
      </c>
      <c r="C239" t="str">
        <f>C235</f>
        <v>eMAXIS Slim 全世界株式（オール・カントリー）</v>
      </c>
      <c r="D239" t="str">
        <f>D235</f>
        <v>全世界株式</v>
      </c>
      <c r="E239">
        <f>E235</f>
        <v>50000</v>
      </c>
    </row>
    <row r="240" spans="1:5" ht="18.75" customHeight="1">
      <c r="A240" s="3">
        <f>EDATE(A236,1)</f>
        <v>46143</v>
      </c>
      <c r="B240" t="str">
        <f>B236</f>
        <v>NISA(つみたて)</v>
      </c>
      <c r="C240" t="str">
        <f>C236</f>
        <v>eMAXIS Slim 全世界株式（オール・カントリー）</v>
      </c>
      <c r="D240" t="str">
        <f>D236</f>
        <v>全世界株式</v>
      </c>
      <c r="E240">
        <f>E236</f>
        <v>50000</v>
      </c>
    </row>
    <row r="241" spans="1:5" ht="18.75" customHeight="1">
      <c r="A241" s="3">
        <f>EDATE(A237,1)</f>
        <v>46157</v>
      </c>
      <c r="B241" t="str">
        <f>B237</f>
        <v>iDeco</v>
      </c>
      <c r="C241" t="str">
        <f>C237</f>
        <v>ＳＢＩ・全世界株式インデックス・ファンド</v>
      </c>
      <c r="D241" t="str">
        <f>D237</f>
        <v>全世界株式</v>
      </c>
      <c r="E241">
        <f>E237</f>
        <v>9829</v>
      </c>
    </row>
    <row r="242" spans="1:5" ht="18.75" customHeight="1">
      <c r="A242" s="3">
        <f>EDATE(A238,1)</f>
        <v>46174</v>
      </c>
      <c r="B242" t="str">
        <f>B238</f>
        <v>NISA(成長)</v>
      </c>
      <c r="C242" t="str">
        <f>C238</f>
        <v>eMAXIS Slim 全世界株式（オール・カントリー）</v>
      </c>
      <c r="D242" t="str">
        <f>D238</f>
        <v>全世界株式</v>
      </c>
      <c r="E242">
        <f>E238</f>
        <v>200000</v>
      </c>
    </row>
    <row r="243" spans="1:5" ht="18.75" customHeight="1">
      <c r="A243" s="3">
        <f>EDATE(A239,1)</f>
        <v>46174</v>
      </c>
      <c r="B243" t="str">
        <f>B239</f>
        <v>NISA(つみたて)</v>
      </c>
      <c r="C243" t="str">
        <f>C239</f>
        <v>eMAXIS Slim 全世界株式（オール・カントリー）</v>
      </c>
      <c r="D243" t="str">
        <f>D239</f>
        <v>全世界株式</v>
      </c>
      <c r="E243">
        <f>E239</f>
        <v>50000</v>
      </c>
    </row>
    <row r="244" spans="1:5" ht="18.75" customHeight="1">
      <c r="A244" s="3">
        <f>EDATE(A240,1)</f>
        <v>46174</v>
      </c>
      <c r="B244" t="str">
        <f>B240</f>
        <v>NISA(つみたて)</v>
      </c>
      <c r="C244" t="str">
        <f>C240</f>
        <v>eMAXIS Slim 全世界株式（オール・カントリー）</v>
      </c>
      <c r="D244" t="str">
        <f>D240</f>
        <v>全世界株式</v>
      </c>
      <c r="E244">
        <f>E240</f>
        <v>50000</v>
      </c>
    </row>
    <row r="245" spans="1:5" ht="18.75" customHeight="1">
      <c r="A245" s="3">
        <f>EDATE(A241,1)</f>
        <v>46188</v>
      </c>
      <c r="B245" t="str">
        <f>B241</f>
        <v>iDeco</v>
      </c>
      <c r="C245" t="str">
        <f>C241</f>
        <v>ＳＢＩ・全世界株式インデックス・ファンド</v>
      </c>
      <c r="D245" t="str">
        <f>D241</f>
        <v>全世界株式</v>
      </c>
      <c r="E245">
        <f>E241</f>
        <v>9829</v>
      </c>
    </row>
    <row r="246" spans="1:5" ht="18.75" customHeight="1">
      <c r="A246" s="3">
        <f>EDATE(A242,1)</f>
        <v>46204</v>
      </c>
      <c r="B246" t="str">
        <f>B242</f>
        <v>NISA(成長)</v>
      </c>
      <c r="C246" t="str">
        <f>C242</f>
        <v>eMAXIS Slim 全世界株式（オール・カントリー）</v>
      </c>
      <c r="D246" t="str">
        <f>D242</f>
        <v>全世界株式</v>
      </c>
      <c r="E246">
        <f>E242</f>
        <v>200000</v>
      </c>
    </row>
    <row r="247" spans="1:5" ht="18.75" customHeight="1">
      <c r="A247" s="3">
        <f>EDATE(A243,1)</f>
        <v>46204</v>
      </c>
      <c r="B247" t="str">
        <f>B243</f>
        <v>NISA(つみたて)</v>
      </c>
      <c r="C247" t="str">
        <f>C243</f>
        <v>eMAXIS Slim 全世界株式（オール・カントリー）</v>
      </c>
      <c r="D247" t="str">
        <f>D243</f>
        <v>全世界株式</v>
      </c>
      <c r="E247">
        <f>E243</f>
        <v>50000</v>
      </c>
    </row>
    <row r="248" spans="1:5" ht="18.75" customHeight="1">
      <c r="A248" s="3">
        <f>EDATE(A244,1)</f>
        <v>46204</v>
      </c>
      <c r="B248" t="str">
        <f>B244</f>
        <v>NISA(つみたて)</v>
      </c>
      <c r="C248" t="str">
        <f>C244</f>
        <v>eMAXIS Slim 全世界株式（オール・カントリー）</v>
      </c>
      <c r="D248" t="str">
        <f>D244</f>
        <v>全世界株式</v>
      </c>
      <c r="E248">
        <f>E244</f>
        <v>50000</v>
      </c>
    </row>
    <row r="249" spans="1:5" ht="18.75" customHeight="1">
      <c r="A249" s="3">
        <f>EDATE(A245,1)</f>
        <v>46218</v>
      </c>
      <c r="B249" t="str">
        <f>B245</f>
        <v>iDeco</v>
      </c>
      <c r="C249" t="str">
        <f>C245</f>
        <v>ＳＢＩ・全世界株式インデックス・ファンド</v>
      </c>
      <c r="D249" t="str">
        <f>D245</f>
        <v>全世界株式</v>
      </c>
      <c r="E249">
        <f>E245</f>
        <v>9829</v>
      </c>
    </row>
    <row r="250" spans="1:5" ht="18.75" customHeight="1">
      <c r="A250" s="3">
        <f>EDATE(A246,1)</f>
        <v>46235</v>
      </c>
      <c r="B250" t="str">
        <f>B246</f>
        <v>NISA(成長)</v>
      </c>
      <c r="C250" t="str">
        <f>C246</f>
        <v>eMAXIS Slim 全世界株式（オール・カントリー）</v>
      </c>
      <c r="D250" t="str">
        <f>D246</f>
        <v>全世界株式</v>
      </c>
      <c r="E250">
        <f>E246</f>
        <v>200000</v>
      </c>
    </row>
    <row r="251" spans="1:5" ht="18.75" customHeight="1">
      <c r="A251" s="3">
        <f>EDATE(A247,1)</f>
        <v>46235</v>
      </c>
      <c r="B251" t="str">
        <f>B247</f>
        <v>NISA(つみたて)</v>
      </c>
      <c r="C251" t="str">
        <f>C247</f>
        <v>eMAXIS Slim 全世界株式（オール・カントリー）</v>
      </c>
      <c r="D251" t="str">
        <f>D247</f>
        <v>全世界株式</v>
      </c>
      <c r="E251">
        <f>E247</f>
        <v>50000</v>
      </c>
    </row>
    <row r="252" spans="1:5" ht="18.75" customHeight="1">
      <c r="A252" s="3">
        <f>EDATE(A248,1)</f>
        <v>46235</v>
      </c>
      <c r="B252" t="str">
        <f>B248</f>
        <v>NISA(つみたて)</v>
      </c>
      <c r="C252" t="str">
        <f>C248</f>
        <v>eMAXIS Slim 全世界株式（オール・カントリー）</v>
      </c>
      <c r="D252" t="str">
        <f>D248</f>
        <v>全世界株式</v>
      </c>
      <c r="E252">
        <f>E248</f>
        <v>50000</v>
      </c>
    </row>
    <row r="253" spans="1:5" ht="18.75" customHeight="1">
      <c r="A253" s="3">
        <f>EDATE(A249,1)</f>
        <v>46249</v>
      </c>
      <c r="B253" t="str">
        <f>B249</f>
        <v>iDeco</v>
      </c>
      <c r="C253" t="str">
        <f>C249</f>
        <v>ＳＢＩ・全世界株式インデックス・ファンド</v>
      </c>
      <c r="D253" t="str">
        <f>D249</f>
        <v>全世界株式</v>
      </c>
      <c r="E253">
        <f>E249</f>
        <v>9829</v>
      </c>
    </row>
    <row r="254" spans="1:5" ht="18.75" customHeight="1">
      <c r="A254" s="3">
        <f>EDATE(A250,1)</f>
        <v>46266</v>
      </c>
      <c r="B254" t="str">
        <f>B250</f>
        <v>NISA(成長)</v>
      </c>
      <c r="C254" t="str">
        <f>C250</f>
        <v>eMAXIS Slim 全世界株式（オール・カントリー）</v>
      </c>
      <c r="D254" t="str">
        <f>D250</f>
        <v>全世界株式</v>
      </c>
      <c r="E254">
        <f>E250</f>
        <v>200000</v>
      </c>
    </row>
    <row r="255" spans="1:5" ht="18.75" customHeight="1">
      <c r="A255" s="3">
        <f>EDATE(A251,1)</f>
        <v>46266</v>
      </c>
      <c r="B255" t="str">
        <f>B251</f>
        <v>NISA(つみたて)</v>
      </c>
      <c r="C255" t="str">
        <f>C251</f>
        <v>eMAXIS Slim 全世界株式（オール・カントリー）</v>
      </c>
      <c r="D255" t="str">
        <f>D251</f>
        <v>全世界株式</v>
      </c>
      <c r="E255">
        <f>E251</f>
        <v>50000</v>
      </c>
    </row>
    <row r="256" spans="1:5" ht="18.75" customHeight="1">
      <c r="A256" s="3">
        <f>EDATE(A252,1)</f>
        <v>46266</v>
      </c>
      <c r="B256" t="str">
        <f>B252</f>
        <v>NISA(つみたて)</v>
      </c>
      <c r="C256" t="str">
        <f>C252</f>
        <v>eMAXIS Slim 全世界株式（オール・カントリー）</v>
      </c>
      <c r="D256" t="str">
        <f>D252</f>
        <v>全世界株式</v>
      </c>
      <c r="E256">
        <f>E252</f>
        <v>50000</v>
      </c>
    </row>
    <row r="257" spans="1:5" ht="18.75" customHeight="1">
      <c r="A257" s="3">
        <f>EDATE(A253,1)</f>
        <v>46280</v>
      </c>
      <c r="B257" t="str">
        <f>B253</f>
        <v>iDeco</v>
      </c>
      <c r="C257" t="str">
        <f>C253</f>
        <v>ＳＢＩ・全世界株式インデックス・ファンド</v>
      </c>
      <c r="D257" t="str">
        <f>D253</f>
        <v>全世界株式</v>
      </c>
      <c r="E257">
        <f>E253</f>
        <v>9829</v>
      </c>
    </row>
    <row r="258" spans="1:5" ht="18.75" customHeight="1">
      <c r="A258" s="3">
        <f>EDATE(A254,1)</f>
        <v>46296</v>
      </c>
      <c r="B258" t="str">
        <f>B254</f>
        <v>NISA(成長)</v>
      </c>
      <c r="C258" t="str">
        <f>C254</f>
        <v>eMAXIS Slim 全世界株式（オール・カントリー）</v>
      </c>
      <c r="D258" t="str">
        <f>D254</f>
        <v>全世界株式</v>
      </c>
      <c r="E258">
        <f>E254</f>
        <v>200000</v>
      </c>
    </row>
    <row r="259" spans="1:5" ht="18.75" customHeight="1">
      <c r="A259" s="3">
        <f>EDATE(A255,1)</f>
        <v>46296</v>
      </c>
      <c r="B259" t="str">
        <f>B255</f>
        <v>NISA(つみたて)</v>
      </c>
      <c r="C259" t="str">
        <f>C255</f>
        <v>eMAXIS Slim 全世界株式（オール・カントリー）</v>
      </c>
      <c r="D259" t="str">
        <f>D255</f>
        <v>全世界株式</v>
      </c>
      <c r="E259">
        <f>E255</f>
        <v>50000</v>
      </c>
    </row>
    <row r="260" spans="1:5" ht="18.75" customHeight="1">
      <c r="A260" s="3">
        <f>EDATE(A256,1)</f>
        <v>46296</v>
      </c>
      <c r="B260" t="str">
        <f>B256</f>
        <v>NISA(つみたて)</v>
      </c>
      <c r="C260" t="str">
        <f>C256</f>
        <v>eMAXIS Slim 全世界株式（オール・カントリー）</v>
      </c>
      <c r="D260" t="str">
        <f>D256</f>
        <v>全世界株式</v>
      </c>
      <c r="E260">
        <f>E256</f>
        <v>50000</v>
      </c>
    </row>
    <row r="261" spans="1:5" ht="18.75" customHeight="1">
      <c r="A261" s="3">
        <f>EDATE(A257,1)</f>
        <v>46310</v>
      </c>
      <c r="B261" t="str">
        <f>B257</f>
        <v>iDeco</v>
      </c>
      <c r="C261" t="str">
        <f>C257</f>
        <v>ＳＢＩ・全世界株式インデックス・ファンド</v>
      </c>
      <c r="D261" t="str">
        <f>D257</f>
        <v>全世界株式</v>
      </c>
      <c r="E261">
        <f>E257</f>
        <v>9829</v>
      </c>
    </row>
    <row r="262" spans="1:5" ht="18.75" customHeight="1">
      <c r="A262" s="3">
        <f>EDATE(A258,1)</f>
        <v>46327</v>
      </c>
      <c r="B262" t="str">
        <f>B258</f>
        <v>NISA(成長)</v>
      </c>
      <c r="C262" t="str">
        <f>C258</f>
        <v>eMAXIS Slim 全世界株式（オール・カントリー）</v>
      </c>
      <c r="D262" t="str">
        <f>D258</f>
        <v>全世界株式</v>
      </c>
      <c r="E262">
        <f>E258</f>
        <v>200000</v>
      </c>
    </row>
    <row r="263" spans="1:5" ht="18.75" customHeight="1">
      <c r="A263" s="3">
        <f>EDATE(A259,1)</f>
        <v>46327</v>
      </c>
      <c r="B263" t="str">
        <f>B259</f>
        <v>NISA(つみたて)</v>
      </c>
      <c r="C263" t="str">
        <f>C259</f>
        <v>eMAXIS Slim 全世界株式（オール・カントリー）</v>
      </c>
      <c r="D263" t="str">
        <f>D259</f>
        <v>全世界株式</v>
      </c>
      <c r="E263">
        <f>E259</f>
        <v>50000</v>
      </c>
    </row>
    <row r="264" spans="1:5" ht="18.75" customHeight="1">
      <c r="A264" s="3">
        <f>EDATE(A260,1)</f>
        <v>46327</v>
      </c>
      <c r="B264" t="str">
        <f>B260</f>
        <v>NISA(つみたて)</v>
      </c>
      <c r="C264" t="str">
        <f>C260</f>
        <v>eMAXIS Slim 全世界株式（オール・カントリー）</v>
      </c>
      <c r="D264" t="str">
        <f>D260</f>
        <v>全世界株式</v>
      </c>
      <c r="E264">
        <f>E260</f>
        <v>50000</v>
      </c>
    </row>
    <row r="265" spans="1:5" ht="18.75" customHeight="1">
      <c r="A265" s="3">
        <f>EDATE(A261,1)</f>
        <v>46341</v>
      </c>
      <c r="B265" t="str">
        <f>B261</f>
        <v>iDeco</v>
      </c>
      <c r="C265" t="str">
        <f>C261</f>
        <v>ＳＢＩ・全世界株式インデックス・ファンド</v>
      </c>
      <c r="D265" t="str">
        <f>D261</f>
        <v>全世界株式</v>
      </c>
      <c r="E265">
        <f>E261</f>
        <v>9829</v>
      </c>
    </row>
    <row r="266" spans="1:5" ht="18.75" customHeight="1">
      <c r="A266" s="3">
        <f>EDATE(A262,1)</f>
        <v>46357</v>
      </c>
      <c r="B266" t="str">
        <f>B262</f>
        <v>NISA(成長)</v>
      </c>
      <c r="C266" t="str">
        <f>C262</f>
        <v>eMAXIS Slim 全世界株式（オール・カントリー）</v>
      </c>
      <c r="D266" t="str">
        <f>D262</f>
        <v>全世界株式</v>
      </c>
      <c r="E266">
        <f>E262</f>
        <v>200000</v>
      </c>
    </row>
    <row r="267" spans="1:5" ht="18.75" customHeight="1">
      <c r="A267" s="3">
        <f>EDATE(A263,1)</f>
        <v>46357</v>
      </c>
      <c r="B267" t="str">
        <f>B263</f>
        <v>NISA(つみたて)</v>
      </c>
      <c r="C267" t="str">
        <f>C263</f>
        <v>eMAXIS Slim 全世界株式（オール・カントリー）</v>
      </c>
      <c r="D267" t="str">
        <f>D263</f>
        <v>全世界株式</v>
      </c>
      <c r="E267">
        <f>E263</f>
        <v>50000</v>
      </c>
    </row>
    <row r="268" spans="1:5" ht="18.75" customHeight="1">
      <c r="A268" s="3">
        <f>EDATE(A264,1)</f>
        <v>46357</v>
      </c>
      <c r="B268" t="str">
        <f>B264</f>
        <v>NISA(つみたて)</v>
      </c>
      <c r="C268" t="str">
        <f>C264</f>
        <v>eMAXIS Slim 全世界株式（オール・カントリー）</v>
      </c>
      <c r="D268" t="str">
        <f>D264</f>
        <v>全世界株式</v>
      </c>
      <c r="E268">
        <f>E264</f>
        <v>50000</v>
      </c>
    </row>
    <row r="269" spans="1:5" ht="18.75" customHeight="1">
      <c r="A269" s="3">
        <f>EDATE(A265,1)</f>
        <v>46371</v>
      </c>
      <c r="B269" t="str">
        <f>B265</f>
        <v>iDeco</v>
      </c>
      <c r="C269" t="str">
        <f>C265</f>
        <v>ＳＢＩ・全世界株式インデックス・ファンド</v>
      </c>
      <c r="D269" t="str">
        <f>D265</f>
        <v>全世界株式</v>
      </c>
      <c r="E269">
        <f>E265</f>
        <v>9829</v>
      </c>
    </row>
    <row r="270" spans="1:5" ht="18.75" customHeight="1">
      <c r="A270" s="3">
        <f>EDATE(A266,1)</f>
        <v>46388</v>
      </c>
      <c r="B270" t="str">
        <f>B266</f>
        <v>NISA(成長)</v>
      </c>
      <c r="C270" t="str">
        <f>C266</f>
        <v>eMAXIS Slim 全世界株式（オール・カントリー）</v>
      </c>
      <c r="D270" t="str">
        <f>D266</f>
        <v>全世界株式</v>
      </c>
      <c r="E270">
        <f>E266</f>
        <v>200000</v>
      </c>
    </row>
    <row r="271" spans="1:5" ht="18.75" customHeight="1">
      <c r="A271" s="3">
        <f>EDATE(A267,1)</f>
        <v>46388</v>
      </c>
      <c r="B271" t="str">
        <f>B267</f>
        <v>NISA(つみたて)</v>
      </c>
      <c r="C271" t="str">
        <f>C267</f>
        <v>eMAXIS Slim 全世界株式（オール・カントリー）</v>
      </c>
      <c r="D271" t="str">
        <f>D267</f>
        <v>全世界株式</v>
      </c>
      <c r="E271">
        <f>E267</f>
        <v>50000</v>
      </c>
    </row>
    <row r="272" spans="1:5" ht="18.75" customHeight="1">
      <c r="A272" s="3">
        <f>EDATE(A268,1)</f>
        <v>46388</v>
      </c>
      <c r="B272" t="str">
        <f>B268</f>
        <v>NISA(つみたて)</v>
      </c>
      <c r="C272" t="str">
        <f>C268</f>
        <v>eMAXIS Slim 全世界株式（オール・カントリー）</v>
      </c>
      <c r="D272" t="str">
        <f>D268</f>
        <v>全世界株式</v>
      </c>
      <c r="E272">
        <f>E268</f>
        <v>50000</v>
      </c>
    </row>
    <row r="273" spans="1:5" ht="18.75" customHeight="1">
      <c r="A273" s="3">
        <f>EDATE(A269,1)</f>
        <v>46402</v>
      </c>
      <c r="B273" t="str">
        <f>B269</f>
        <v>iDeco</v>
      </c>
      <c r="C273" t="str">
        <f>C269</f>
        <v>ＳＢＩ・全世界株式インデックス・ファンド</v>
      </c>
      <c r="D273" t="str">
        <f>D269</f>
        <v>全世界株式</v>
      </c>
      <c r="E273">
        <f>E269</f>
        <v>9829</v>
      </c>
    </row>
    <row r="274" spans="1:5" ht="18.75" customHeight="1">
      <c r="A274" s="3">
        <f>EDATE(A270,1)</f>
        <v>46419</v>
      </c>
      <c r="B274" t="str">
        <f>B270</f>
        <v>NISA(成長)</v>
      </c>
      <c r="C274" t="str">
        <f>C270</f>
        <v>eMAXIS Slim 全世界株式（オール・カントリー）</v>
      </c>
      <c r="D274" t="str">
        <f>D270</f>
        <v>全世界株式</v>
      </c>
      <c r="E274">
        <f>E270</f>
        <v>200000</v>
      </c>
    </row>
    <row r="275" spans="1:5" ht="18.75" customHeight="1">
      <c r="A275" s="3">
        <f>EDATE(A271,1)</f>
        <v>46419</v>
      </c>
      <c r="B275" t="str">
        <f>B271</f>
        <v>NISA(つみたて)</v>
      </c>
      <c r="C275" t="str">
        <f>C271</f>
        <v>eMAXIS Slim 全世界株式（オール・カントリー）</v>
      </c>
      <c r="D275" t="str">
        <f>D271</f>
        <v>全世界株式</v>
      </c>
      <c r="E275">
        <f>E271</f>
        <v>50000</v>
      </c>
    </row>
    <row r="276" spans="1:5" ht="18.75" customHeight="1">
      <c r="A276" s="3">
        <f>EDATE(A272,1)</f>
        <v>46419</v>
      </c>
      <c r="B276" t="str">
        <f>B272</f>
        <v>NISA(つみたて)</v>
      </c>
      <c r="C276" t="str">
        <f>C272</f>
        <v>eMAXIS Slim 全世界株式（オール・カントリー）</v>
      </c>
      <c r="D276" t="str">
        <f>D272</f>
        <v>全世界株式</v>
      </c>
      <c r="E276">
        <f>E272</f>
        <v>50000</v>
      </c>
    </row>
    <row r="277" spans="1:5" ht="18.75" customHeight="1">
      <c r="A277" s="3">
        <f>EDATE(A273,1)</f>
        <v>46433</v>
      </c>
      <c r="B277" t="str">
        <f>B273</f>
        <v>iDeco</v>
      </c>
      <c r="C277" t="str">
        <f>C273</f>
        <v>ＳＢＩ・全世界株式インデックス・ファンド</v>
      </c>
      <c r="D277" t="str">
        <f>D273</f>
        <v>全世界株式</v>
      </c>
      <c r="E277">
        <f>E273</f>
        <v>9829</v>
      </c>
    </row>
    <row r="278" spans="1:5" ht="18.75" customHeight="1">
      <c r="A278" s="3">
        <f>EDATE(A274,1)</f>
        <v>46447</v>
      </c>
      <c r="B278" t="str">
        <f>B274</f>
        <v>NISA(成長)</v>
      </c>
      <c r="C278" t="str">
        <f>C274</f>
        <v>eMAXIS Slim 全世界株式（オール・カントリー）</v>
      </c>
      <c r="D278" t="str">
        <f>D274</f>
        <v>全世界株式</v>
      </c>
      <c r="E278">
        <f>E274</f>
        <v>200000</v>
      </c>
    </row>
    <row r="279" spans="1:5" ht="18.75" customHeight="1">
      <c r="A279" s="3">
        <f>EDATE(A275,1)</f>
        <v>46447</v>
      </c>
      <c r="B279" t="str">
        <f>B275</f>
        <v>NISA(つみたて)</v>
      </c>
      <c r="C279" t="str">
        <f>C275</f>
        <v>eMAXIS Slim 全世界株式（オール・カントリー）</v>
      </c>
      <c r="D279" t="str">
        <f>D275</f>
        <v>全世界株式</v>
      </c>
      <c r="E279">
        <f>E275</f>
        <v>50000</v>
      </c>
    </row>
    <row r="280" spans="1:5" ht="18.75" customHeight="1">
      <c r="A280" s="3">
        <f>EDATE(A276,1)</f>
        <v>46447</v>
      </c>
      <c r="B280" t="str">
        <f>B276</f>
        <v>NISA(つみたて)</v>
      </c>
      <c r="C280" t="str">
        <f>C276</f>
        <v>eMAXIS Slim 全世界株式（オール・カントリー）</v>
      </c>
      <c r="D280" t="str">
        <f>D276</f>
        <v>全世界株式</v>
      </c>
      <c r="E280">
        <f>E276</f>
        <v>50000</v>
      </c>
    </row>
    <row r="281" spans="1:5" ht="18.75" customHeight="1">
      <c r="A281" s="3">
        <f>EDATE(A277,1)</f>
        <v>46461</v>
      </c>
      <c r="B281" t="str">
        <f>B277</f>
        <v>iDeco</v>
      </c>
      <c r="C281" t="str">
        <f>C277</f>
        <v>ＳＢＩ・全世界株式インデックス・ファンド</v>
      </c>
      <c r="D281" t="str">
        <f>D277</f>
        <v>全世界株式</v>
      </c>
      <c r="E281">
        <f>E277</f>
        <v>9829</v>
      </c>
    </row>
    <row r="282" spans="1:5" ht="18.75" customHeight="1">
      <c r="A282" s="3">
        <f>EDATE(A278,1)</f>
        <v>46478</v>
      </c>
      <c r="B282" t="str">
        <f>B278</f>
        <v>NISA(成長)</v>
      </c>
      <c r="C282" t="str">
        <f>C278</f>
        <v>eMAXIS Slim 全世界株式（オール・カントリー）</v>
      </c>
      <c r="D282" t="str">
        <f>D278</f>
        <v>全世界株式</v>
      </c>
      <c r="E282">
        <f>E278</f>
        <v>200000</v>
      </c>
    </row>
    <row r="283" spans="1:5" ht="18.75" customHeight="1">
      <c r="A283" s="3">
        <f>EDATE(A279,1)</f>
        <v>46478</v>
      </c>
      <c r="B283" t="str">
        <f>B279</f>
        <v>NISA(つみたて)</v>
      </c>
      <c r="C283" t="str">
        <f>C279</f>
        <v>eMAXIS Slim 全世界株式（オール・カントリー）</v>
      </c>
      <c r="D283" t="str">
        <f>D279</f>
        <v>全世界株式</v>
      </c>
      <c r="E283">
        <f>E279</f>
        <v>50000</v>
      </c>
    </row>
    <row r="284" spans="1:5" ht="18.75" customHeight="1">
      <c r="A284" s="3">
        <f>EDATE(A280,1)</f>
        <v>46478</v>
      </c>
      <c r="B284" t="str">
        <f>B280</f>
        <v>NISA(つみたて)</v>
      </c>
      <c r="C284" t="str">
        <f>C280</f>
        <v>eMAXIS Slim 全世界株式（オール・カントリー）</v>
      </c>
      <c r="D284" t="str">
        <f>D280</f>
        <v>全世界株式</v>
      </c>
      <c r="E284">
        <f>E280</f>
        <v>50000</v>
      </c>
    </row>
    <row r="285" spans="1:5" ht="18.75" customHeight="1">
      <c r="A285" s="3">
        <f>EDATE(A281,1)</f>
        <v>46492</v>
      </c>
      <c r="B285" t="str">
        <f>B281</f>
        <v>iDeco</v>
      </c>
      <c r="C285" t="str">
        <f>C281</f>
        <v>ＳＢＩ・全世界株式インデックス・ファンド</v>
      </c>
      <c r="D285" t="str">
        <f>D281</f>
        <v>全世界株式</v>
      </c>
      <c r="E285">
        <f>E281</f>
        <v>9829</v>
      </c>
    </row>
    <row r="286" spans="1:5" ht="18.75" customHeight="1">
      <c r="A286" s="3">
        <f>EDATE(A282,1)</f>
        <v>46508</v>
      </c>
      <c r="B286" t="str">
        <f>B282</f>
        <v>NISA(成長)</v>
      </c>
      <c r="C286" t="str">
        <f>C282</f>
        <v>eMAXIS Slim 全世界株式（オール・カントリー）</v>
      </c>
      <c r="D286" t="str">
        <f>D282</f>
        <v>全世界株式</v>
      </c>
      <c r="E286">
        <f>E282</f>
        <v>200000</v>
      </c>
    </row>
    <row r="287" spans="1:5" ht="18.75" customHeight="1">
      <c r="A287" s="3">
        <f>EDATE(A283,1)</f>
        <v>46508</v>
      </c>
      <c r="B287" t="str">
        <f>B283</f>
        <v>NISA(つみたて)</v>
      </c>
      <c r="C287" t="str">
        <f>C283</f>
        <v>eMAXIS Slim 全世界株式（オール・カントリー）</v>
      </c>
      <c r="D287" t="str">
        <f>D283</f>
        <v>全世界株式</v>
      </c>
      <c r="E287">
        <f>E283</f>
        <v>50000</v>
      </c>
    </row>
    <row r="288" spans="1:5" ht="18.75" customHeight="1">
      <c r="A288" s="3">
        <f>EDATE(A284,1)</f>
        <v>46508</v>
      </c>
      <c r="B288" t="str">
        <f>B284</f>
        <v>NISA(つみたて)</v>
      </c>
      <c r="C288" t="str">
        <f>C284</f>
        <v>eMAXIS Slim 全世界株式（オール・カントリー）</v>
      </c>
      <c r="D288" t="str">
        <f>D284</f>
        <v>全世界株式</v>
      </c>
      <c r="E288">
        <f>E284</f>
        <v>50000</v>
      </c>
    </row>
    <row r="289" spans="1:5" ht="18.75" customHeight="1">
      <c r="A289" s="3">
        <f>EDATE(A285,1)</f>
        <v>46522</v>
      </c>
      <c r="B289" t="str">
        <f>B285</f>
        <v>iDeco</v>
      </c>
      <c r="C289" t="str">
        <f>C285</f>
        <v>ＳＢＩ・全世界株式インデックス・ファンド</v>
      </c>
      <c r="D289" t="str">
        <f>D285</f>
        <v>全世界株式</v>
      </c>
      <c r="E289">
        <f>E285</f>
        <v>9829</v>
      </c>
    </row>
    <row r="290" spans="1:5" ht="18.75" customHeight="1">
      <c r="A290" s="3">
        <f>EDATE(A286,1)</f>
        <v>46539</v>
      </c>
      <c r="B290" t="str">
        <f>B286</f>
        <v>NISA(成長)</v>
      </c>
      <c r="C290" t="str">
        <f>C286</f>
        <v>eMAXIS Slim 全世界株式（オール・カントリー）</v>
      </c>
      <c r="D290" t="str">
        <f>D286</f>
        <v>全世界株式</v>
      </c>
      <c r="E290">
        <f>E286</f>
        <v>200000</v>
      </c>
    </row>
    <row r="291" spans="1:5" ht="18.75" customHeight="1">
      <c r="A291" s="3">
        <f>EDATE(A287,1)</f>
        <v>46539</v>
      </c>
      <c r="B291" t="str">
        <f>B287</f>
        <v>NISA(つみたて)</v>
      </c>
      <c r="C291" t="str">
        <f>C287</f>
        <v>eMAXIS Slim 全世界株式（オール・カントリー）</v>
      </c>
      <c r="D291" t="str">
        <f>D287</f>
        <v>全世界株式</v>
      </c>
      <c r="E291">
        <f>E287</f>
        <v>50000</v>
      </c>
    </row>
    <row r="292" spans="1:5" ht="18.75" customHeight="1">
      <c r="A292" s="3">
        <f>EDATE(A288,1)</f>
        <v>46539</v>
      </c>
      <c r="B292" t="str">
        <f>B288</f>
        <v>NISA(つみたて)</v>
      </c>
      <c r="C292" t="str">
        <f>C288</f>
        <v>eMAXIS Slim 全世界株式（オール・カントリー）</v>
      </c>
      <c r="D292" t="str">
        <f>D288</f>
        <v>全世界株式</v>
      </c>
      <c r="E292">
        <f>E288</f>
        <v>50000</v>
      </c>
    </row>
    <row r="293" spans="1:5" ht="18.75" customHeight="1">
      <c r="A293" s="3">
        <f>EDATE(A289,1)</f>
        <v>46553</v>
      </c>
      <c r="B293" t="str">
        <f>B289</f>
        <v>iDeco</v>
      </c>
      <c r="C293" t="str">
        <f>C289</f>
        <v>ＳＢＩ・全世界株式インデックス・ファンド</v>
      </c>
      <c r="D293" t="str">
        <f>D289</f>
        <v>全世界株式</v>
      </c>
      <c r="E293">
        <f>E289</f>
        <v>9829</v>
      </c>
    </row>
    <row r="294" spans="1:5" ht="18.75" customHeight="1">
      <c r="A294" s="3">
        <f>EDATE(A290,1)</f>
        <v>46569</v>
      </c>
      <c r="B294" t="str">
        <f>B290</f>
        <v>NISA(成長)</v>
      </c>
      <c r="C294" t="str">
        <f>C290</f>
        <v>eMAXIS Slim 全世界株式（オール・カントリー）</v>
      </c>
      <c r="D294" t="str">
        <f>D290</f>
        <v>全世界株式</v>
      </c>
      <c r="E294">
        <f>E290</f>
        <v>200000</v>
      </c>
    </row>
    <row r="295" spans="1:5" ht="18.75" customHeight="1">
      <c r="A295" s="3">
        <f>EDATE(A291,1)</f>
        <v>46569</v>
      </c>
      <c r="B295" t="str">
        <f>B291</f>
        <v>NISA(つみたて)</v>
      </c>
      <c r="C295" t="str">
        <f>C291</f>
        <v>eMAXIS Slim 全世界株式（オール・カントリー）</v>
      </c>
      <c r="D295" t="str">
        <f>D291</f>
        <v>全世界株式</v>
      </c>
      <c r="E295">
        <f>E291</f>
        <v>50000</v>
      </c>
    </row>
    <row r="296" spans="1:5" ht="18.75" customHeight="1">
      <c r="A296" s="3">
        <f>EDATE(A292,1)</f>
        <v>46569</v>
      </c>
      <c r="B296" t="str">
        <f>B292</f>
        <v>NISA(つみたて)</v>
      </c>
      <c r="C296" t="str">
        <f>C292</f>
        <v>eMAXIS Slim 全世界株式（オール・カントリー）</v>
      </c>
      <c r="D296" t="str">
        <f>D292</f>
        <v>全世界株式</v>
      </c>
      <c r="E296">
        <f>E292</f>
        <v>50000</v>
      </c>
    </row>
    <row r="297" spans="1:5" ht="18.75" customHeight="1">
      <c r="A297" s="3">
        <f>EDATE(A293,1)</f>
        <v>46583</v>
      </c>
      <c r="B297" t="str">
        <f>B293</f>
        <v>iDeco</v>
      </c>
      <c r="C297" t="str">
        <f>C293</f>
        <v>ＳＢＩ・全世界株式インデックス・ファンド</v>
      </c>
      <c r="D297" t="str">
        <f>D293</f>
        <v>全世界株式</v>
      </c>
      <c r="E297">
        <f>E293</f>
        <v>9829</v>
      </c>
    </row>
    <row r="298" spans="1:5" ht="18.75" customHeight="1">
      <c r="A298" s="3">
        <f>EDATE(A294,1)</f>
        <v>46600</v>
      </c>
      <c r="B298" t="str">
        <f>B294</f>
        <v>NISA(成長)</v>
      </c>
      <c r="C298" t="str">
        <f>C294</f>
        <v>eMAXIS Slim 全世界株式（オール・カントリー）</v>
      </c>
      <c r="D298" t="str">
        <f>D294</f>
        <v>全世界株式</v>
      </c>
      <c r="E298">
        <f>E294</f>
        <v>200000</v>
      </c>
    </row>
    <row r="299" spans="1:5" ht="18.75" customHeight="1">
      <c r="A299" s="3">
        <f>EDATE(A295,1)</f>
        <v>46600</v>
      </c>
      <c r="B299" t="str">
        <f>B295</f>
        <v>NISA(つみたて)</v>
      </c>
      <c r="C299" t="str">
        <f>C295</f>
        <v>eMAXIS Slim 全世界株式（オール・カントリー）</v>
      </c>
      <c r="D299" t="str">
        <f>D295</f>
        <v>全世界株式</v>
      </c>
      <c r="E299">
        <f>E295</f>
        <v>50000</v>
      </c>
    </row>
    <row r="300" spans="1:5" ht="18.75" customHeight="1">
      <c r="A300" s="3">
        <f>EDATE(A296,1)</f>
        <v>46600</v>
      </c>
      <c r="B300" t="str">
        <f>B296</f>
        <v>NISA(つみたて)</v>
      </c>
      <c r="C300" t="str">
        <f>C296</f>
        <v>eMAXIS Slim 全世界株式（オール・カントリー）</v>
      </c>
      <c r="D300" t="str">
        <f>D296</f>
        <v>全世界株式</v>
      </c>
      <c r="E300">
        <f>E296</f>
        <v>50000</v>
      </c>
    </row>
    <row r="301" spans="1:5" ht="18.75" customHeight="1">
      <c r="A301" s="3">
        <f>EDATE(A297,1)</f>
        <v>46614</v>
      </c>
      <c r="B301" t="str">
        <f>B297</f>
        <v>iDeco</v>
      </c>
      <c r="C301" t="str">
        <f>C297</f>
        <v>ＳＢＩ・全世界株式インデックス・ファンド</v>
      </c>
      <c r="D301" t="str">
        <f>D297</f>
        <v>全世界株式</v>
      </c>
      <c r="E301">
        <f>E297</f>
        <v>9829</v>
      </c>
    </row>
    <row r="302" spans="1:5" ht="18.75" customHeight="1">
      <c r="A302" s="3">
        <f>EDATE(A298,1)</f>
        <v>46631</v>
      </c>
      <c r="B302" t="str">
        <f>B298</f>
        <v>NISA(成長)</v>
      </c>
      <c r="C302" t="str">
        <f>C298</f>
        <v>eMAXIS Slim 全世界株式（オール・カントリー）</v>
      </c>
      <c r="D302" t="str">
        <f>D298</f>
        <v>全世界株式</v>
      </c>
      <c r="E302">
        <f>E298</f>
        <v>200000</v>
      </c>
    </row>
    <row r="303" spans="1:5" ht="18.75" customHeight="1">
      <c r="A303" s="3">
        <f>EDATE(A299,1)</f>
        <v>46631</v>
      </c>
      <c r="B303" t="str">
        <f>B299</f>
        <v>NISA(つみたて)</v>
      </c>
      <c r="C303" t="str">
        <f>C299</f>
        <v>eMAXIS Slim 全世界株式（オール・カントリー）</v>
      </c>
      <c r="D303" t="str">
        <f>D299</f>
        <v>全世界株式</v>
      </c>
      <c r="E303">
        <f>E299</f>
        <v>50000</v>
      </c>
    </row>
    <row r="304" spans="1:5" ht="18.75" customHeight="1">
      <c r="A304" s="3">
        <f>EDATE(A300,1)</f>
        <v>46631</v>
      </c>
      <c r="B304" t="str">
        <f>B300</f>
        <v>NISA(つみたて)</v>
      </c>
      <c r="C304" t="str">
        <f>C300</f>
        <v>eMAXIS Slim 全世界株式（オール・カントリー）</v>
      </c>
      <c r="D304" t="str">
        <f>D300</f>
        <v>全世界株式</v>
      </c>
      <c r="E304">
        <f>E300</f>
        <v>50000</v>
      </c>
    </row>
    <row r="305" spans="1:5" ht="18.75" customHeight="1">
      <c r="A305" s="3">
        <f>EDATE(A301,1)</f>
        <v>46645</v>
      </c>
      <c r="B305" t="str">
        <f>B301</f>
        <v>iDeco</v>
      </c>
      <c r="C305" t="str">
        <f>C301</f>
        <v>ＳＢＩ・全世界株式インデックス・ファンド</v>
      </c>
      <c r="D305" t="str">
        <f>D301</f>
        <v>全世界株式</v>
      </c>
      <c r="E305">
        <f>E301</f>
        <v>9829</v>
      </c>
    </row>
    <row r="306" spans="1:5" ht="18.75" customHeight="1">
      <c r="A306" s="3">
        <f>EDATE(A302,1)</f>
        <v>46661</v>
      </c>
      <c r="B306" t="str">
        <f>B302</f>
        <v>NISA(成長)</v>
      </c>
      <c r="C306" t="str">
        <f>C302</f>
        <v>eMAXIS Slim 全世界株式（オール・カントリー）</v>
      </c>
      <c r="D306" t="str">
        <f>D302</f>
        <v>全世界株式</v>
      </c>
      <c r="E306">
        <f>E302</f>
        <v>200000</v>
      </c>
    </row>
    <row r="307" spans="1:5" ht="18.75" customHeight="1">
      <c r="A307" s="3">
        <f>EDATE(A303,1)</f>
        <v>46661</v>
      </c>
      <c r="B307" t="str">
        <f>B303</f>
        <v>NISA(つみたて)</v>
      </c>
      <c r="C307" t="str">
        <f>C303</f>
        <v>eMAXIS Slim 全世界株式（オール・カントリー）</v>
      </c>
      <c r="D307" t="str">
        <f>D303</f>
        <v>全世界株式</v>
      </c>
      <c r="E307">
        <f>E303</f>
        <v>50000</v>
      </c>
    </row>
    <row r="308" spans="1:5" ht="18.75" customHeight="1">
      <c r="A308" s="3">
        <f>EDATE(A304,1)</f>
        <v>46661</v>
      </c>
      <c r="B308" t="str">
        <f>B304</f>
        <v>NISA(つみたて)</v>
      </c>
      <c r="C308" t="str">
        <f>C304</f>
        <v>eMAXIS Slim 全世界株式（オール・カントリー）</v>
      </c>
      <c r="D308" t="str">
        <f>D304</f>
        <v>全世界株式</v>
      </c>
      <c r="E308">
        <f>E304</f>
        <v>50000</v>
      </c>
    </row>
    <row r="309" spans="1:5" ht="18.75" customHeight="1">
      <c r="A309" s="3">
        <f>EDATE(A305,1)</f>
        <v>46675</v>
      </c>
      <c r="B309" t="str">
        <f>B305</f>
        <v>iDeco</v>
      </c>
      <c r="C309" t="str">
        <f>C305</f>
        <v>ＳＢＩ・全世界株式インデックス・ファンド</v>
      </c>
      <c r="D309" t="str">
        <f>D305</f>
        <v>全世界株式</v>
      </c>
      <c r="E309">
        <f>E305</f>
        <v>9829</v>
      </c>
    </row>
    <row r="310" spans="1:5" ht="18.75" customHeight="1">
      <c r="A310" s="3">
        <f>EDATE(A306,1)</f>
        <v>46692</v>
      </c>
      <c r="B310" t="str">
        <f>B306</f>
        <v>NISA(成長)</v>
      </c>
      <c r="C310" t="str">
        <f>C306</f>
        <v>eMAXIS Slim 全世界株式（オール・カントリー）</v>
      </c>
      <c r="D310" t="str">
        <f>D306</f>
        <v>全世界株式</v>
      </c>
      <c r="E310">
        <f>E306</f>
        <v>200000</v>
      </c>
    </row>
    <row r="311" spans="1:5" ht="18.75" customHeight="1">
      <c r="A311" s="3">
        <f>EDATE(A307,1)</f>
        <v>46692</v>
      </c>
      <c r="B311" t="str">
        <f>B307</f>
        <v>NISA(つみたて)</v>
      </c>
      <c r="C311" t="str">
        <f>C307</f>
        <v>eMAXIS Slim 全世界株式（オール・カントリー）</v>
      </c>
      <c r="D311" t="str">
        <f>D307</f>
        <v>全世界株式</v>
      </c>
      <c r="E311">
        <f>E307</f>
        <v>50000</v>
      </c>
    </row>
    <row r="312" spans="1:5" ht="18.75" customHeight="1">
      <c r="A312" s="3">
        <f>EDATE(A308,1)</f>
        <v>46692</v>
      </c>
      <c r="B312" t="str">
        <f>B308</f>
        <v>NISA(つみたて)</v>
      </c>
      <c r="C312" t="str">
        <f>C308</f>
        <v>eMAXIS Slim 全世界株式（オール・カントリー）</v>
      </c>
      <c r="D312" t="str">
        <f>D308</f>
        <v>全世界株式</v>
      </c>
      <c r="E312">
        <f>E308</f>
        <v>50000</v>
      </c>
    </row>
    <row r="313" spans="1:5" ht="18.75" customHeight="1">
      <c r="A313" s="3">
        <f>EDATE(A309,1)</f>
        <v>46706</v>
      </c>
      <c r="B313" t="str">
        <f>B309</f>
        <v>iDeco</v>
      </c>
      <c r="C313" t="str">
        <f>C309</f>
        <v>ＳＢＩ・全世界株式インデックス・ファンド</v>
      </c>
      <c r="D313" t="str">
        <f>D309</f>
        <v>全世界株式</v>
      </c>
      <c r="E313">
        <f>E309</f>
        <v>9829</v>
      </c>
    </row>
    <row r="314" spans="1:5" ht="18.75" customHeight="1">
      <c r="A314" s="3">
        <f>EDATE(A310,1)</f>
        <v>46722</v>
      </c>
      <c r="B314" t="str">
        <f>B310</f>
        <v>NISA(成長)</v>
      </c>
      <c r="C314" t="str">
        <f>C310</f>
        <v>eMAXIS Slim 全世界株式（オール・カントリー）</v>
      </c>
      <c r="D314" t="str">
        <f>D310</f>
        <v>全世界株式</v>
      </c>
      <c r="E314">
        <f>E310</f>
        <v>200000</v>
      </c>
    </row>
    <row r="315" spans="1:5" ht="18.75" customHeight="1">
      <c r="A315" s="3">
        <f>EDATE(A311,1)</f>
        <v>46722</v>
      </c>
      <c r="B315" t="str">
        <f>B311</f>
        <v>NISA(つみたて)</v>
      </c>
      <c r="C315" t="str">
        <f>C311</f>
        <v>eMAXIS Slim 全世界株式（オール・カントリー）</v>
      </c>
      <c r="D315" t="str">
        <f>D311</f>
        <v>全世界株式</v>
      </c>
      <c r="E315">
        <f>E311</f>
        <v>50000</v>
      </c>
    </row>
    <row r="316" spans="1:5" ht="18.75" customHeight="1">
      <c r="A316" s="3">
        <f>EDATE(A312,1)</f>
        <v>46722</v>
      </c>
      <c r="B316" t="str">
        <f>B312</f>
        <v>NISA(つみたて)</v>
      </c>
      <c r="C316" t="str">
        <f>C312</f>
        <v>eMAXIS Slim 全世界株式（オール・カントリー）</v>
      </c>
      <c r="D316" t="str">
        <f>D312</f>
        <v>全世界株式</v>
      </c>
      <c r="E316">
        <f>E312</f>
        <v>50000</v>
      </c>
    </row>
    <row r="317" spans="1:5" ht="18.75" customHeight="1">
      <c r="A317" s="3">
        <f>EDATE(A313,1)</f>
        <v>46736</v>
      </c>
      <c r="B317" t="str">
        <f>B313</f>
        <v>iDeco</v>
      </c>
      <c r="C317" t="str">
        <f>C313</f>
        <v>ＳＢＩ・全世界株式インデックス・ファンド</v>
      </c>
      <c r="D317" t="str">
        <f>D313</f>
        <v>全世界株式</v>
      </c>
      <c r="E317">
        <f>E313</f>
        <v>9829</v>
      </c>
    </row>
    <row r="318" spans="1:5" ht="18.75" customHeight="1">
      <c r="A318" s="3">
        <f>EDATE(A314,1)</f>
        <v>46753</v>
      </c>
      <c r="B318" t="str">
        <f>B314</f>
        <v>NISA(成長)</v>
      </c>
      <c r="C318" t="str">
        <f>C314</f>
        <v>eMAXIS Slim 全世界株式（オール・カントリー）</v>
      </c>
      <c r="D318" t="str">
        <f>D314</f>
        <v>全世界株式</v>
      </c>
      <c r="E318">
        <f>E314</f>
        <v>200000</v>
      </c>
    </row>
    <row r="319" spans="1:5" ht="18.75" customHeight="1">
      <c r="A319" s="3">
        <f>EDATE(A315,1)</f>
        <v>46753</v>
      </c>
      <c r="B319" t="str">
        <f>B315</f>
        <v>NISA(つみたて)</v>
      </c>
      <c r="C319" t="str">
        <f>C315</f>
        <v>eMAXIS Slim 全世界株式（オール・カントリー）</v>
      </c>
      <c r="D319" t="str">
        <f>D315</f>
        <v>全世界株式</v>
      </c>
      <c r="E319">
        <f>E315</f>
        <v>50000</v>
      </c>
    </row>
    <row r="320" spans="1:5" ht="18.75" customHeight="1">
      <c r="A320" s="3">
        <f>EDATE(A316,1)</f>
        <v>46753</v>
      </c>
      <c r="B320" t="str">
        <f>B316</f>
        <v>NISA(つみたて)</v>
      </c>
      <c r="C320" t="str">
        <f>C316</f>
        <v>eMAXIS Slim 全世界株式（オール・カントリー）</v>
      </c>
      <c r="D320" t="str">
        <f>D316</f>
        <v>全世界株式</v>
      </c>
      <c r="E320">
        <f>E316</f>
        <v>50000</v>
      </c>
    </row>
    <row r="321" spans="1:5" ht="18.75" customHeight="1">
      <c r="A321" s="3">
        <f>EDATE(A317,1)</f>
        <v>46767</v>
      </c>
      <c r="B321" t="str">
        <f>B317</f>
        <v>iDeco</v>
      </c>
      <c r="C321" t="str">
        <f>C317</f>
        <v>ＳＢＩ・全世界株式インデックス・ファンド</v>
      </c>
      <c r="D321" t="str">
        <f>D317</f>
        <v>全世界株式</v>
      </c>
      <c r="E321">
        <f>E317</f>
        <v>9829</v>
      </c>
    </row>
    <row r="322" spans="1:5" ht="18.75" customHeight="1">
      <c r="A322" s="3">
        <f>EDATE(A318,1)</f>
        <v>46784</v>
      </c>
      <c r="B322" t="str">
        <f>B318</f>
        <v>NISA(成長)</v>
      </c>
      <c r="C322" t="str">
        <f>C318</f>
        <v>eMAXIS Slim 全世界株式（オール・カントリー）</v>
      </c>
      <c r="D322" t="str">
        <f>D318</f>
        <v>全世界株式</v>
      </c>
      <c r="E322">
        <f>E318</f>
        <v>200000</v>
      </c>
    </row>
    <row r="323" spans="1:5" ht="18.75" customHeight="1">
      <c r="A323" s="3">
        <f>EDATE(A319,1)</f>
        <v>46784</v>
      </c>
      <c r="B323" t="str">
        <f>B319</f>
        <v>NISA(つみたて)</v>
      </c>
      <c r="C323" t="str">
        <f>C319</f>
        <v>eMAXIS Slim 全世界株式（オール・カントリー）</v>
      </c>
      <c r="D323" t="str">
        <f>D319</f>
        <v>全世界株式</v>
      </c>
      <c r="E323">
        <f>E319</f>
        <v>50000</v>
      </c>
    </row>
    <row r="324" spans="1:5" ht="18.75" customHeight="1">
      <c r="A324" s="3">
        <f>EDATE(A320,1)</f>
        <v>46784</v>
      </c>
      <c r="B324" t="str">
        <f>B320</f>
        <v>NISA(つみたて)</v>
      </c>
      <c r="C324" t="str">
        <f>C320</f>
        <v>eMAXIS Slim 全世界株式（オール・カントリー）</v>
      </c>
      <c r="D324" t="str">
        <f>D320</f>
        <v>全世界株式</v>
      </c>
      <c r="E324">
        <f>E320</f>
        <v>50000</v>
      </c>
    </row>
    <row r="325" spans="1:5" ht="18.75" customHeight="1">
      <c r="A325" s="3">
        <f>EDATE(A321,1)</f>
        <v>46798</v>
      </c>
      <c r="B325" t="str">
        <f>B321</f>
        <v>iDeco</v>
      </c>
      <c r="C325" t="str">
        <f>C321</f>
        <v>ＳＢＩ・全世界株式インデックス・ファンド</v>
      </c>
      <c r="D325" t="str">
        <f>D321</f>
        <v>全世界株式</v>
      </c>
      <c r="E325">
        <f>E321</f>
        <v>9829</v>
      </c>
    </row>
    <row r="326" spans="1:5" ht="18.75" customHeight="1">
      <c r="A326" s="3">
        <f>EDATE(A322,1)</f>
        <v>46813</v>
      </c>
      <c r="B326" t="str">
        <f>B322</f>
        <v>NISA(成長)</v>
      </c>
      <c r="C326" t="str">
        <f>C322</f>
        <v>eMAXIS Slim 全世界株式（オール・カントリー）</v>
      </c>
      <c r="D326" t="str">
        <f>D322</f>
        <v>全世界株式</v>
      </c>
      <c r="E326">
        <f>E322</f>
        <v>200000</v>
      </c>
    </row>
    <row r="327" spans="1:5" ht="18.75" customHeight="1">
      <c r="A327" s="3">
        <f>EDATE(A323,1)</f>
        <v>46813</v>
      </c>
      <c r="B327" t="str">
        <f>B323</f>
        <v>NISA(つみたて)</v>
      </c>
      <c r="C327" t="str">
        <f>C323</f>
        <v>eMAXIS Slim 全世界株式（オール・カントリー）</v>
      </c>
      <c r="D327" t="str">
        <f>D323</f>
        <v>全世界株式</v>
      </c>
      <c r="E327">
        <f>E323</f>
        <v>50000</v>
      </c>
    </row>
    <row r="328" spans="1:5" ht="18.75" customHeight="1">
      <c r="A328" s="3">
        <f>EDATE(A324,1)</f>
        <v>46813</v>
      </c>
      <c r="B328" t="str">
        <f>B324</f>
        <v>NISA(つみたて)</v>
      </c>
      <c r="C328" t="str">
        <f>C324</f>
        <v>eMAXIS Slim 全世界株式（オール・カントリー）</v>
      </c>
      <c r="D328" t="str">
        <f>D324</f>
        <v>全世界株式</v>
      </c>
      <c r="E328">
        <f>E324</f>
        <v>50000</v>
      </c>
    </row>
    <row r="329" spans="1:5" ht="18.75" customHeight="1">
      <c r="A329" s="3">
        <f>EDATE(A325,1)</f>
        <v>46827</v>
      </c>
      <c r="B329" t="str">
        <f>B325</f>
        <v>iDeco</v>
      </c>
      <c r="C329" t="str">
        <f>C325</f>
        <v>ＳＢＩ・全世界株式インデックス・ファンド</v>
      </c>
      <c r="D329" t="str">
        <f>D325</f>
        <v>全世界株式</v>
      </c>
      <c r="E329">
        <f>E325</f>
        <v>9829</v>
      </c>
    </row>
    <row r="330" spans="1:5" ht="18.75" customHeight="1">
      <c r="A330" s="3">
        <f>EDATE(A326,1)</f>
        <v>46844</v>
      </c>
      <c r="B330" t="str">
        <f>B326</f>
        <v>NISA(成長)</v>
      </c>
      <c r="C330" t="str">
        <f>C326</f>
        <v>eMAXIS Slim 全世界株式（オール・カントリー）</v>
      </c>
      <c r="D330" t="str">
        <f>D326</f>
        <v>全世界株式</v>
      </c>
      <c r="E330">
        <f>E326</f>
        <v>200000</v>
      </c>
    </row>
    <row r="331" spans="1:5" ht="18.75" customHeight="1">
      <c r="A331" s="3">
        <f>EDATE(A327,1)</f>
        <v>46844</v>
      </c>
      <c r="B331" t="str">
        <f>B327</f>
        <v>NISA(つみたて)</v>
      </c>
      <c r="C331" t="str">
        <f>C327</f>
        <v>eMAXIS Slim 全世界株式（オール・カントリー）</v>
      </c>
      <c r="D331" t="str">
        <f>D327</f>
        <v>全世界株式</v>
      </c>
      <c r="E331">
        <f>E327</f>
        <v>50000</v>
      </c>
    </row>
    <row r="332" spans="1:5" ht="18.75" customHeight="1">
      <c r="A332" s="3">
        <f>EDATE(A328,1)</f>
        <v>46844</v>
      </c>
      <c r="B332" t="str">
        <f>B328</f>
        <v>NISA(つみたて)</v>
      </c>
      <c r="C332" t="str">
        <f>C328</f>
        <v>eMAXIS Slim 全世界株式（オール・カントリー）</v>
      </c>
      <c r="D332" t="str">
        <f>D328</f>
        <v>全世界株式</v>
      </c>
      <c r="E332">
        <f>E328</f>
        <v>50000</v>
      </c>
    </row>
    <row r="333" spans="1:5" ht="18.75" customHeight="1">
      <c r="A333" s="3">
        <f>EDATE(A329,1)</f>
        <v>46858</v>
      </c>
      <c r="B333" t="str">
        <f>B329</f>
        <v>iDeco</v>
      </c>
      <c r="C333" t="str">
        <f>C329</f>
        <v>ＳＢＩ・全世界株式インデックス・ファンド</v>
      </c>
      <c r="D333" t="str">
        <f>D329</f>
        <v>全世界株式</v>
      </c>
      <c r="E333">
        <f>E329</f>
        <v>9829</v>
      </c>
    </row>
    <row r="334" spans="1:5" ht="18.75" customHeight="1">
      <c r="A334" s="3">
        <f>EDATE(A330,1)</f>
        <v>46874</v>
      </c>
      <c r="B334" t="str">
        <f>B330</f>
        <v>NISA(成長)</v>
      </c>
      <c r="C334" t="str">
        <f>C330</f>
        <v>eMAXIS Slim 全世界株式（オール・カントリー）</v>
      </c>
      <c r="D334" t="str">
        <f>D330</f>
        <v>全世界株式</v>
      </c>
      <c r="E334">
        <f>E330</f>
        <v>200000</v>
      </c>
    </row>
    <row r="335" spans="1:5" ht="18.75" customHeight="1">
      <c r="A335" s="3">
        <f>EDATE(A331,1)</f>
        <v>46874</v>
      </c>
      <c r="B335" t="str">
        <f>B331</f>
        <v>NISA(つみたて)</v>
      </c>
      <c r="C335" t="str">
        <f>C331</f>
        <v>eMAXIS Slim 全世界株式（オール・カントリー）</v>
      </c>
      <c r="D335" t="str">
        <f>D331</f>
        <v>全世界株式</v>
      </c>
      <c r="E335">
        <f>E331</f>
        <v>50000</v>
      </c>
    </row>
    <row r="336" spans="1:5" ht="18.75" customHeight="1">
      <c r="A336" s="3">
        <f>EDATE(A332,1)</f>
        <v>46874</v>
      </c>
      <c r="B336" t="str">
        <f>B332</f>
        <v>NISA(つみたて)</v>
      </c>
      <c r="C336" t="str">
        <f>C332</f>
        <v>eMAXIS Slim 全世界株式（オール・カントリー）</v>
      </c>
      <c r="D336" t="str">
        <f>D332</f>
        <v>全世界株式</v>
      </c>
      <c r="E336">
        <f>E332</f>
        <v>50000</v>
      </c>
    </row>
    <row r="337" spans="1:5" ht="18.75" customHeight="1">
      <c r="A337" s="3">
        <f>EDATE(A333,1)</f>
        <v>46888</v>
      </c>
      <c r="B337" t="str">
        <f>B333</f>
        <v>iDeco</v>
      </c>
      <c r="C337" t="str">
        <f>C333</f>
        <v>ＳＢＩ・全世界株式インデックス・ファンド</v>
      </c>
      <c r="D337" t="str">
        <f>D333</f>
        <v>全世界株式</v>
      </c>
      <c r="E337">
        <f>E333</f>
        <v>9829</v>
      </c>
    </row>
    <row r="338" spans="1:5" ht="18.75" customHeight="1">
      <c r="A338" s="3">
        <f>EDATE(A334,1)</f>
        <v>46905</v>
      </c>
      <c r="B338" t="str">
        <f>B334</f>
        <v>NISA(成長)</v>
      </c>
      <c r="C338" t="str">
        <f>C334</f>
        <v>eMAXIS Slim 全世界株式（オール・カントリー）</v>
      </c>
      <c r="D338" t="str">
        <f>D334</f>
        <v>全世界株式</v>
      </c>
      <c r="E338">
        <f>E334</f>
        <v>200000</v>
      </c>
    </row>
    <row r="339" spans="1:5" ht="18.75" customHeight="1">
      <c r="A339" s="3">
        <f>EDATE(A335,1)</f>
        <v>46905</v>
      </c>
      <c r="B339" t="str">
        <f>B335</f>
        <v>NISA(つみたて)</v>
      </c>
      <c r="C339" t="str">
        <f>C335</f>
        <v>eMAXIS Slim 全世界株式（オール・カントリー）</v>
      </c>
      <c r="D339" t="str">
        <f>D335</f>
        <v>全世界株式</v>
      </c>
      <c r="E339">
        <f>E335</f>
        <v>50000</v>
      </c>
    </row>
    <row r="340" spans="1:5" ht="18.75" customHeight="1">
      <c r="A340" s="3">
        <f>EDATE(A336,1)</f>
        <v>46905</v>
      </c>
      <c r="B340" t="str">
        <f>B336</f>
        <v>NISA(つみたて)</v>
      </c>
      <c r="C340" t="str">
        <f>C336</f>
        <v>eMAXIS Slim 全世界株式（オール・カントリー）</v>
      </c>
      <c r="D340" t="str">
        <f>D336</f>
        <v>全世界株式</v>
      </c>
      <c r="E340">
        <f>E336</f>
        <v>50000</v>
      </c>
    </row>
    <row r="341" spans="1:5" ht="18.75" customHeight="1">
      <c r="A341" s="3">
        <f>EDATE(A337,1)</f>
        <v>46919</v>
      </c>
      <c r="B341" t="str">
        <f>B337</f>
        <v>iDeco</v>
      </c>
      <c r="C341" t="str">
        <f>C337</f>
        <v>ＳＢＩ・全世界株式インデックス・ファンド</v>
      </c>
      <c r="D341" t="str">
        <f>D337</f>
        <v>全世界株式</v>
      </c>
      <c r="E341">
        <f>E337</f>
        <v>9829</v>
      </c>
    </row>
    <row r="342" spans="1:5" ht="18.75" customHeight="1">
      <c r="A342" s="3">
        <f>EDATE(A338,1)</f>
        <v>46935</v>
      </c>
      <c r="B342" t="str">
        <f>B338</f>
        <v>NISA(成長)</v>
      </c>
      <c r="C342" t="str">
        <f>C338</f>
        <v>eMAXIS Slim 全世界株式（オール・カントリー）</v>
      </c>
      <c r="D342" t="str">
        <f>D338</f>
        <v>全世界株式</v>
      </c>
      <c r="E342">
        <f>E338</f>
        <v>200000</v>
      </c>
    </row>
    <row r="343" spans="1:5" ht="18.75" customHeight="1">
      <c r="A343" s="3">
        <f>EDATE(A339,1)</f>
        <v>46935</v>
      </c>
      <c r="B343" t="str">
        <f>B339</f>
        <v>NISA(つみたて)</v>
      </c>
      <c r="C343" t="str">
        <f>C339</f>
        <v>eMAXIS Slim 全世界株式（オール・カントリー）</v>
      </c>
      <c r="D343" t="str">
        <f>D339</f>
        <v>全世界株式</v>
      </c>
      <c r="E343">
        <f>E339</f>
        <v>50000</v>
      </c>
    </row>
    <row r="344" spans="1:5" ht="18.75" customHeight="1">
      <c r="A344" s="3">
        <f>EDATE(A340,1)</f>
        <v>46935</v>
      </c>
      <c r="B344" t="str">
        <f>B340</f>
        <v>NISA(つみたて)</v>
      </c>
      <c r="C344" t="str">
        <f>C340</f>
        <v>eMAXIS Slim 全世界株式（オール・カントリー）</v>
      </c>
      <c r="D344" t="str">
        <f>D340</f>
        <v>全世界株式</v>
      </c>
      <c r="E344">
        <f>E340</f>
        <v>50000</v>
      </c>
    </row>
    <row r="345" spans="1:5" ht="18.75" customHeight="1">
      <c r="A345" s="3">
        <f>EDATE(A341,1)</f>
        <v>46949</v>
      </c>
      <c r="B345" t="str">
        <f>B341</f>
        <v>iDeco</v>
      </c>
      <c r="C345" t="str">
        <f>C341</f>
        <v>ＳＢＩ・全世界株式インデックス・ファンド</v>
      </c>
      <c r="D345" t="str">
        <f>D341</f>
        <v>全世界株式</v>
      </c>
      <c r="E345">
        <f>E341</f>
        <v>9829</v>
      </c>
    </row>
    <row r="346" spans="1:5" ht="18.75" customHeight="1">
      <c r="A346" s="3">
        <f>EDATE(A342,1)</f>
        <v>46966</v>
      </c>
      <c r="B346" t="str">
        <f>B342</f>
        <v>NISA(成長)</v>
      </c>
      <c r="C346" t="str">
        <f>C342</f>
        <v>eMAXIS Slim 全世界株式（オール・カントリー）</v>
      </c>
      <c r="D346" t="str">
        <f>D342</f>
        <v>全世界株式</v>
      </c>
      <c r="E346">
        <f>E342</f>
        <v>200000</v>
      </c>
    </row>
    <row r="347" spans="1:5" ht="18.75" customHeight="1">
      <c r="A347" s="3">
        <f>EDATE(A343,1)</f>
        <v>46966</v>
      </c>
      <c r="B347" t="str">
        <f>B343</f>
        <v>NISA(つみたて)</v>
      </c>
      <c r="C347" t="str">
        <f>C343</f>
        <v>eMAXIS Slim 全世界株式（オール・カントリー）</v>
      </c>
      <c r="D347" t="str">
        <f>D343</f>
        <v>全世界株式</v>
      </c>
      <c r="E347">
        <f>E343</f>
        <v>50000</v>
      </c>
    </row>
    <row r="348" spans="1:5" ht="18.75" customHeight="1">
      <c r="A348" s="3">
        <f>EDATE(A344,1)</f>
        <v>46966</v>
      </c>
      <c r="B348" t="str">
        <f>B344</f>
        <v>NISA(つみたて)</v>
      </c>
      <c r="C348" t="str">
        <f>C344</f>
        <v>eMAXIS Slim 全世界株式（オール・カントリー）</v>
      </c>
      <c r="D348" t="str">
        <f>D344</f>
        <v>全世界株式</v>
      </c>
      <c r="E348">
        <f>E344</f>
        <v>50000</v>
      </c>
    </row>
    <row r="349" spans="1:5" ht="18.75" customHeight="1">
      <c r="A349" s="3">
        <f>EDATE(A345,1)</f>
        <v>46980</v>
      </c>
      <c r="B349" t="str">
        <f>B345</f>
        <v>iDeco</v>
      </c>
      <c r="C349" t="str">
        <f>C345</f>
        <v>ＳＢＩ・全世界株式インデックス・ファンド</v>
      </c>
      <c r="D349" t="str">
        <f>D345</f>
        <v>全世界株式</v>
      </c>
      <c r="E349">
        <f>E345</f>
        <v>9829</v>
      </c>
    </row>
    <row r="350" spans="1:5" ht="18.75" customHeight="1">
      <c r="A350" s="3">
        <f>EDATE(A346,1)</f>
        <v>46997</v>
      </c>
      <c r="B350" t="str">
        <f>B346</f>
        <v>NISA(成長)</v>
      </c>
      <c r="C350" t="str">
        <f>C346</f>
        <v>eMAXIS Slim 全世界株式（オール・カントリー）</v>
      </c>
      <c r="D350" t="str">
        <f>D346</f>
        <v>全世界株式</v>
      </c>
      <c r="E350">
        <f>E346</f>
        <v>200000</v>
      </c>
    </row>
    <row r="351" spans="1:5" ht="18.75" customHeight="1">
      <c r="A351" s="3">
        <f>EDATE(A347,1)</f>
        <v>46997</v>
      </c>
      <c r="B351" t="str">
        <f>B347</f>
        <v>NISA(つみたて)</v>
      </c>
      <c r="C351" t="str">
        <f>C347</f>
        <v>eMAXIS Slim 全世界株式（オール・カントリー）</v>
      </c>
      <c r="D351" t="str">
        <f>D347</f>
        <v>全世界株式</v>
      </c>
      <c r="E351">
        <f>E347</f>
        <v>50000</v>
      </c>
    </row>
    <row r="352" spans="1:5" ht="18.75" customHeight="1">
      <c r="A352" s="3">
        <f>EDATE(A348,1)</f>
        <v>46997</v>
      </c>
      <c r="B352" t="str">
        <f>B348</f>
        <v>NISA(つみたて)</v>
      </c>
      <c r="C352" t="str">
        <f>C348</f>
        <v>eMAXIS Slim 全世界株式（オール・カントリー）</v>
      </c>
      <c r="D352" t="str">
        <f>D348</f>
        <v>全世界株式</v>
      </c>
      <c r="E352">
        <f>E348</f>
        <v>50000</v>
      </c>
    </row>
    <row r="353" spans="1:5" ht="18.75" customHeight="1">
      <c r="A353" s="3">
        <f>EDATE(A349,1)</f>
        <v>47011</v>
      </c>
      <c r="B353" t="str">
        <f>B349</f>
        <v>iDeco</v>
      </c>
      <c r="C353" t="str">
        <f>C349</f>
        <v>ＳＢＩ・全世界株式インデックス・ファンド</v>
      </c>
      <c r="D353" t="str">
        <f>D349</f>
        <v>全世界株式</v>
      </c>
      <c r="E353">
        <f>E349</f>
        <v>9829</v>
      </c>
    </row>
    <row r="354" spans="1:5" ht="18.75" customHeight="1">
      <c r="A354" s="3">
        <f>EDATE(A350,1)</f>
        <v>47027</v>
      </c>
      <c r="B354" t="str">
        <f>B350</f>
        <v>NISA(成長)</v>
      </c>
      <c r="C354" t="str">
        <f>C350</f>
        <v>eMAXIS Slim 全世界株式（オール・カントリー）</v>
      </c>
      <c r="D354" t="str">
        <f>D350</f>
        <v>全世界株式</v>
      </c>
      <c r="E354">
        <f>E350</f>
        <v>200000</v>
      </c>
    </row>
    <row r="355" spans="1:5" ht="18.75" customHeight="1">
      <c r="A355" s="3">
        <f>EDATE(A351,1)</f>
        <v>47027</v>
      </c>
      <c r="B355" t="str">
        <f>B351</f>
        <v>NISA(つみたて)</v>
      </c>
      <c r="C355" t="str">
        <f>C351</f>
        <v>eMAXIS Slim 全世界株式（オール・カントリー）</v>
      </c>
      <c r="D355" t="str">
        <f>D351</f>
        <v>全世界株式</v>
      </c>
      <c r="E355">
        <f>E351</f>
        <v>50000</v>
      </c>
    </row>
    <row r="356" spans="1:5" ht="18.75" customHeight="1">
      <c r="A356" s="3">
        <f>EDATE(A352,1)</f>
        <v>47027</v>
      </c>
      <c r="B356" t="str">
        <f>B352</f>
        <v>NISA(つみたて)</v>
      </c>
      <c r="C356" t="str">
        <f>C352</f>
        <v>eMAXIS Slim 全世界株式（オール・カントリー）</v>
      </c>
      <c r="D356" t="str">
        <f>D352</f>
        <v>全世界株式</v>
      </c>
      <c r="E356">
        <f>E352</f>
        <v>50000</v>
      </c>
    </row>
    <row r="357" spans="1:5" ht="18.75" customHeight="1">
      <c r="A357" s="3">
        <f>EDATE(A353,1)</f>
        <v>47041</v>
      </c>
      <c r="B357" t="str">
        <f>B353</f>
        <v>iDeco</v>
      </c>
      <c r="C357" t="str">
        <f>C353</f>
        <v>ＳＢＩ・全世界株式インデックス・ファンド</v>
      </c>
      <c r="D357" t="str">
        <f>D353</f>
        <v>全世界株式</v>
      </c>
      <c r="E357">
        <f>E353</f>
        <v>9829</v>
      </c>
    </row>
    <row r="358" spans="1:5" ht="18.75" customHeight="1">
      <c r="A358" s="3">
        <f>EDATE(A354,1)</f>
        <v>47058</v>
      </c>
      <c r="B358" t="str">
        <f>B354</f>
        <v>NISA(成長)</v>
      </c>
      <c r="C358" t="str">
        <f>C354</f>
        <v>eMAXIS Slim 全世界株式（オール・カントリー）</v>
      </c>
      <c r="D358" t="str">
        <f>D354</f>
        <v>全世界株式</v>
      </c>
      <c r="E358">
        <f>E354</f>
        <v>200000</v>
      </c>
    </row>
    <row r="359" spans="1:5" ht="18.75" customHeight="1">
      <c r="A359" s="3">
        <f>EDATE(A355,1)</f>
        <v>47058</v>
      </c>
      <c r="B359" t="str">
        <f>B355</f>
        <v>NISA(つみたて)</v>
      </c>
      <c r="C359" t="str">
        <f>C355</f>
        <v>eMAXIS Slim 全世界株式（オール・カントリー）</v>
      </c>
      <c r="D359" t="str">
        <f>D355</f>
        <v>全世界株式</v>
      </c>
      <c r="E359">
        <f>E355</f>
        <v>50000</v>
      </c>
    </row>
    <row r="360" spans="1:5" ht="18.75" customHeight="1">
      <c r="A360" s="3">
        <f>EDATE(A356,1)</f>
        <v>47058</v>
      </c>
      <c r="B360" t="str">
        <f>B356</f>
        <v>NISA(つみたて)</v>
      </c>
      <c r="C360" t="str">
        <f>C356</f>
        <v>eMAXIS Slim 全世界株式（オール・カントリー）</v>
      </c>
      <c r="D360" t="str">
        <f>D356</f>
        <v>全世界株式</v>
      </c>
      <c r="E360">
        <f>E356</f>
        <v>50000</v>
      </c>
    </row>
    <row r="361" spans="1:5" ht="18.75" customHeight="1">
      <c r="A361" s="3">
        <f>EDATE(A357,1)</f>
        <v>47072</v>
      </c>
      <c r="B361" t="str">
        <f>B357</f>
        <v>iDeco</v>
      </c>
      <c r="C361" t="str">
        <f>C357</f>
        <v>ＳＢＩ・全世界株式インデックス・ファンド</v>
      </c>
      <c r="D361" t="str">
        <f>D357</f>
        <v>全世界株式</v>
      </c>
      <c r="E361">
        <f>E357</f>
        <v>9829</v>
      </c>
    </row>
    <row r="362" spans="1:5" ht="18.75" customHeight="1">
      <c r="A362" s="3">
        <f>EDATE(A358,1)</f>
        <v>47088</v>
      </c>
      <c r="B362" t="str">
        <f>B358</f>
        <v>NISA(成長)</v>
      </c>
      <c r="C362" t="str">
        <f>C358</f>
        <v>eMAXIS Slim 全世界株式（オール・カントリー）</v>
      </c>
      <c r="D362" t="str">
        <f>D358</f>
        <v>全世界株式</v>
      </c>
      <c r="E362">
        <f>E358</f>
        <v>200000</v>
      </c>
    </row>
    <row r="363" spans="1:5" ht="18.75" customHeight="1">
      <c r="A363" s="3">
        <f>EDATE(A359,1)</f>
        <v>47088</v>
      </c>
      <c r="B363" t="str">
        <f>B359</f>
        <v>NISA(つみたて)</v>
      </c>
      <c r="C363" t="str">
        <f>C359</f>
        <v>eMAXIS Slim 全世界株式（オール・カントリー）</v>
      </c>
      <c r="D363" t="str">
        <f>D359</f>
        <v>全世界株式</v>
      </c>
      <c r="E363">
        <f>E359</f>
        <v>50000</v>
      </c>
    </row>
    <row r="364" spans="1:5" ht="18.75" customHeight="1">
      <c r="A364" s="3">
        <f>EDATE(A360,1)</f>
        <v>47088</v>
      </c>
      <c r="B364" t="str">
        <f>B360</f>
        <v>NISA(つみたて)</v>
      </c>
      <c r="C364" t="str">
        <f>C360</f>
        <v>eMAXIS Slim 全世界株式（オール・カントリー）</v>
      </c>
      <c r="D364" t="str">
        <f>D360</f>
        <v>全世界株式</v>
      </c>
      <c r="E364">
        <f>E360</f>
        <v>50000</v>
      </c>
    </row>
    <row r="365" spans="1:5" ht="18.75" customHeight="1">
      <c r="A365" s="3">
        <f>EDATE(A361,1)</f>
        <v>47102</v>
      </c>
      <c r="B365" t="str">
        <f>B361</f>
        <v>iDeco</v>
      </c>
      <c r="C365" t="str">
        <f>C361</f>
        <v>ＳＢＩ・全世界株式インデックス・ファンド</v>
      </c>
      <c r="D365" t="str">
        <f>D361</f>
        <v>全世界株式</v>
      </c>
      <c r="E365">
        <f>E361</f>
        <v>9829</v>
      </c>
    </row>
    <row r="366" spans="1:5" ht="18.75" customHeight="1">
      <c r="A366" s="3"/>
    </row>
    <row r="367" spans="1:5" ht="18.75" customHeight="1">
      <c r="A367" s="3"/>
    </row>
    <row r="368" spans="1:5" ht="18.75" customHeight="1">
      <c r="A368" s="3"/>
    </row>
    <row r="369" spans="1:1" ht="18.75" customHeight="1">
      <c r="A369" s="3"/>
    </row>
    <row r="370" spans="1:1" ht="18.75" customHeight="1">
      <c r="A370" s="3"/>
    </row>
    <row r="371" spans="1:1" ht="18.75" customHeight="1">
      <c r="A371" s="3"/>
    </row>
    <row r="372" spans="1:1" ht="18.75" customHeight="1">
      <c r="A372" s="3"/>
    </row>
    <row r="373" spans="1:1" ht="18.75" customHeight="1">
      <c r="A373" s="3"/>
    </row>
    <row r="374" spans="1:1" ht="18.75" customHeight="1">
      <c r="A374" s="3"/>
    </row>
    <row r="375" spans="1:1" ht="18.75" customHeight="1">
      <c r="A375" s="3"/>
    </row>
    <row r="376" spans="1:1" ht="18.75" customHeight="1">
      <c r="A376" s="3"/>
    </row>
    <row r="377" spans="1:1" ht="18.75" customHeight="1">
      <c r="A377" s="3"/>
    </row>
    <row r="378" spans="1:1" ht="18.75" customHeight="1">
      <c r="A378" s="3"/>
    </row>
    <row r="379" spans="1:1" ht="18.75" customHeight="1">
      <c r="A379" s="3"/>
    </row>
    <row r="380" spans="1:1" ht="18.75" customHeight="1">
      <c r="A380" s="3"/>
    </row>
    <row r="381" spans="1:1" ht="18.75" customHeight="1">
      <c r="A381" s="3"/>
    </row>
    <row r="382" spans="1:1" ht="18.75" customHeight="1">
      <c r="A382" s="3"/>
    </row>
    <row r="383" spans="1:1" ht="18.75" customHeight="1">
      <c r="A383" s="3"/>
    </row>
    <row r="384" spans="1:1" ht="18.75" customHeight="1">
      <c r="A384" s="3"/>
    </row>
    <row r="385" spans="1:1" ht="18.75" customHeight="1">
      <c r="A385" s="3"/>
    </row>
    <row r="386" spans="1:1" ht="18.75" customHeight="1">
      <c r="A386" s="3"/>
    </row>
    <row r="387" spans="1:1" ht="18.75" customHeight="1">
      <c r="A387" s="3"/>
    </row>
    <row r="388" spans="1:1" ht="18.75" customHeight="1">
      <c r="A388" s="3"/>
    </row>
    <row r="389" spans="1:1" ht="18.75" customHeight="1">
      <c r="A389" s="3"/>
    </row>
    <row r="390" spans="1:1" ht="18.75" customHeight="1">
      <c r="A390" s="3"/>
    </row>
    <row r="391" spans="1:1" ht="18.75" customHeight="1">
      <c r="A391" s="3"/>
    </row>
    <row r="392" spans="1:1" ht="18.75" customHeight="1">
      <c r="A392" s="3"/>
    </row>
    <row r="393" spans="1:1" ht="18.75" customHeight="1">
      <c r="A393" s="3"/>
    </row>
    <row r="394" spans="1:1" ht="18.75" customHeight="1">
      <c r="A394" s="3"/>
    </row>
    <row r="395" spans="1:1" ht="18.75" customHeight="1">
      <c r="A395" s="3"/>
    </row>
    <row r="396" spans="1:1" ht="18.75" customHeight="1">
      <c r="A396" s="3"/>
    </row>
    <row r="397" spans="1:1" ht="18.75" customHeight="1">
      <c r="A397" s="3"/>
    </row>
    <row r="398" spans="1:1" ht="18.75" customHeight="1">
      <c r="A398" s="3"/>
    </row>
    <row r="399" spans="1:1" ht="18.75" customHeight="1">
      <c r="A399" s="3"/>
    </row>
    <row r="400" spans="1:1" ht="18.75" customHeight="1">
      <c r="A400" s="3"/>
    </row>
    <row r="401" spans="1:1" ht="18.75" customHeight="1">
      <c r="A401" s="3"/>
    </row>
    <row r="402" spans="1:1" ht="18.75" customHeight="1">
      <c r="A402" s="3"/>
    </row>
    <row r="403" spans="1:1" ht="18.75" customHeight="1">
      <c r="A403" s="3"/>
    </row>
    <row r="404" spans="1:1" ht="18.75" customHeight="1">
      <c r="A404" s="3"/>
    </row>
    <row r="405" spans="1:1" ht="18.75" customHeight="1">
      <c r="A405" s="3"/>
    </row>
    <row r="406" spans="1:1" ht="18.75" customHeight="1">
      <c r="A406" s="3"/>
    </row>
    <row r="407" spans="1:1" ht="18.75" customHeight="1">
      <c r="A407" s="3"/>
    </row>
    <row r="408" spans="1:1" ht="18.75" customHeight="1">
      <c r="A408" s="3"/>
    </row>
    <row r="409" spans="1:1" ht="18.75" customHeight="1">
      <c r="A409" s="3"/>
    </row>
    <row r="410" spans="1:1" ht="18.75" customHeight="1">
      <c r="A410" s="3"/>
    </row>
    <row r="411" spans="1:1" ht="18.75" customHeight="1">
      <c r="A411" s="3"/>
    </row>
    <row r="412" spans="1:1" ht="18.75" customHeight="1">
      <c r="A412" s="3"/>
    </row>
    <row r="413" spans="1:1" ht="18.75" customHeight="1">
      <c r="A413" s="3"/>
    </row>
    <row r="414" spans="1:1" ht="18.75" customHeight="1">
      <c r="A414" s="3"/>
    </row>
    <row r="415" spans="1:1" ht="18.75" customHeight="1">
      <c r="A415" s="3"/>
    </row>
    <row r="416" spans="1:1" ht="18.75" customHeight="1">
      <c r="A416" s="3"/>
    </row>
    <row r="417" spans="1:1" ht="18.75" customHeight="1">
      <c r="A417" s="3"/>
    </row>
    <row r="418" spans="1:1" ht="18.75" customHeight="1">
      <c r="A418" s="3"/>
    </row>
    <row r="419" spans="1:1" ht="18.75" customHeight="1">
      <c r="A419" s="3"/>
    </row>
    <row r="420" spans="1:1" ht="18.75" customHeight="1">
      <c r="A420" s="3"/>
    </row>
    <row r="421" spans="1:1" ht="18.75" customHeight="1">
      <c r="A421" s="3"/>
    </row>
    <row r="422" spans="1:1" ht="18.75" customHeight="1">
      <c r="A422" s="3"/>
    </row>
    <row r="423" spans="1:1" ht="18.75" customHeight="1">
      <c r="A423" s="3"/>
    </row>
    <row r="424" spans="1:1" ht="18.75" customHeight="1">
      <c r="A424" s="3"/>
    </row>
    <row r="425" spans="1:1" ht="18.75" customHeight="1">
      <c r="A425" s="3"/>
    </row>
    <row r="426" spans="1:1" ht="18.75" customHeight="1">
      <c r="A426" s="3"/>
    </row>
    <row r="427" spans="1:1" ht="18.75" customHeight="1">
      <c r="A427" s="3"/>
    </row>
    <row r="428" spans="1:1" ht="18.75" customHeight="1">
      <c r="A428" s="3"/>
    </row>
    <row r="429" spans="1:1" ht="18.75" customHeight="1">
      <c r="A429" s="3"/>
    </row>
    <row r="430" spans="1:1" ht="18.75" customHeight="1">
      <c r="A430" s="3"/>
    </row>
    <row r="431" spans="1:1" ht="18.75" customHeight="1">
      <c r="A431" s="3"/>
    </row>
    <row r="432" spans="1:1" ht="18.75" customHeight="1">
      <c r="A432" s="3"/>
    </row>
    <row r="433" spans="1:1" ht="18.75" customHeight="1">
      <c r="A433" s="3"/>
    </row>
    <row r="434" spans="1:1" ht="18.75" customHeight="1">
      <c r="A434" s="3"/>
    </row>
    <row r="435" spans="1:1" ht="18.75" customHeight="1">
      <c r="A435" s="3"/>
    </row>
    <row r="436" spans="1:1" ht="18.75" customHeight="1">
      <c r="A436" s="3"/>
    </row>
    <row r="437" spans="1:1" ht="18.75" customHeight="1">
      <c r="A437" s="3"/>
    </row>
    <row r="438" spans="1:1" ht="18.75" customHeight="1">
      <c r="A438" s="3"/>
    </row>
    <row r="439" spans="1:1" ht="18.75" customHeight="1">
      <c r="A439" s="3"/>
    </row>
    <row r="440" spans="1:1" ht="18.75" customHeight="1">
      <c r="A440" s="3"/>
    </row>
    <row r="441" spans="1:1" ht="18.75" customHeight="1">
      <c r="A441" s="3"/>
    </row>
    <row r="442" spans="1:1" ht="18.75" customHeight="1">
      <c r="A442" s="3"/>
    </row>
    <row r="443" spans="1:1" ht="18.75" customHeight="1">
      <c r="A443" s="3"/>
    </row>
    <row r="444" spans="1:1" ht="18.75" customHeight="1">
      <c r="A444" s="3"/>
    </row>
    <row r="445" spans="1:1" ht="18.75" customHeight="1">
      <c r="A445" s="3"/>
    </row>
    <row r="446" spans="1:1" ht="18.75" customHeight="1">
      <c r="A446" s="3"/>
    </row>
    <row r="447" spans="1:1" ht="18.75" customHeight="1">
      <c r="A447" s="3"/>
    </row>
    <row r="448" spans="1:1" ht="18.75" customHeight="1">
      <c r="A448" s="3"/>
    </row>
    <row r="449" spans="1:1" ht="18.75" customHeight="1">
      <c r="A449" s="3"/>
    </row>
    <row r="450" spans="1:1" ht="18.75" customHeight="1">
      <c r="A450" s="3"/>
    </row>
    <row r="451" spans="1:1" ht="18.75" customHeight="1">
      <c r="A451" s="3"/>
    </row>
    <row r="452" spans="1:1" ht="18.75" customHeight="1">
      <c r="A452" s="3"/>
    </row>
    <row r="453" spans="1:1" ht="18.75" customHeight="1">
      <c r="A453" s="3"/>
    </row>
    <row r="454" spans="1:1" ht="18.75" customHeight="1">
      <c r="A454" s="3"/>
    </row>
    <row r="455" spans="1:1" ht="18.75" customHeight="1">
      <c r="A455" s="3"/>
    </row>
    <row r="456" spans="1:1" ht="18.75" customHeight="1">
      <c r="A456" s="3"/>
    </row>
    <row r="457" spans="1:1" ht="18.75" customHeight="1">
      <c r="A457" s="3"/>
    </row>
    <row r="458" spans="1:1" ht="18.75" customHeight="1">
      <c r="A458" s="3"/>
    </row>
    <row r="459" spans="1:1" ht="18.75" customHeight="1">
      <c r="A459" s="3"/>
    </row>
    <row r="460" spans="1:1" ht="18.75" customHeight="1">
      <c r="A460" s="3"/>
    </row>
    <row r="461" spans="1:1" ht="18.75" customHeight="1">
      <c r="A461" s="3"/>
    </row>
    <row r="462" spans="1:1" ht="18.75" customHeight="1">
      <c r="A462" s="3"/>
    </row>
    <row r="463" spans="1:1" ht="18.75" customHeight="1">
      <c r="A463" s="3"/>
    </row>
    <row r="464" spans="1:1" ht="18.75" customHeight="1">
      <c r="A464" s="3"/>
    </row>
    <row r="465" spans="1:1" ht="18.75" customHeight="1">
      <c r="A465" s="3"/>
    </row>
    <row r="466" spans="1:1" ht="18.75" customHeight="1">
      <c r="A466" s="3"/>
    </row>
    <row r="467" spans="1:1" ht="18.75" customHeight="1">
      <c r="A467" s="3"/>
    </row>
    <row r="468" spans="1:1" ht="18.75" customHeight="1">
      <c r="A468" s="3"/>
    </row>
    <row r="469" spans="1:1" ht="18.75" customHeight="1">
      <c r="A469" s="3"/>
    </row>
    <row r="470" spans="1:1" ht="18.75" customHeight="1">
      <c r="A470" s="3"/>
    </row>
    <row r="471" spans="1:1" ht="18.75" customHeight="1">
      <c r="A471" s="3"/>
    </row>
    <row r="472" spans="1:1" ht="18.75" customHeight="1">
      <c r="A472" s="3"/>
    </row>
    <row r="473" spans="1:1" ht="18.75" customHeight="1">
      <c r="A473" s="3"/>
    </row>
    <row r="474" spans="1:1" ht="18.75" customHeight="1">
      <c r="A474" s="3"/>
    </row>
    <row r="475" spans="1:1" ht="18.75" customHeight="1">
      <c r="A475" s="3"/>
    </row>
    <row r="476" spans="1:1" ht="18.75" customHeight="1">
      <c r="A476" s="3"/>
    </row>
    <row r="477" spans="1:1" ht="18.75" customHeight="1">
      <c r="A477" s="3"/>
    </row>
    <row r="478" spans="1:1" ht="18.75" customHeight="1">
      <c r="A478" s="3"/>
    </row>
    <row r="479" spans="1:1" ht="18.75" customHeight="1">
      <c r="A479" s="3"/>
    </row>
    <row r="480" spans="1:1" ht="18.75" customHeight="1">
      <c r="A480" s="3"/>
    </row>
    <row r="481" spans="1:1" ht="18.75" customHeight="1">
      <c r="A481" s="3"/>
    </row>
    <row r="482" spans="1:1" ht="18.75" customHeight="1">
      <c r="A482" s="3"/>
    </row>
    <row r="483" spans="1:1" ht="18.75" customHeight="1">
      <c r="A483" s="3"/>
    </row>
    <row r="484" spans="1:1" ht="18.75" customHeight="1">
      <c r="A484" s="3"/>
    </row>
    <row r="485" spans="1:1" ht="18.75" customHeight="1">
      <c r="A485" s="3"/>
    </row>
    <row r="486" spans="1:1" ht="18.75" customHeight="1">
      <c r="A486" s="3"/>
    </row>
    <row r="487" spans="1:1" ht="18.75" customHeight="1">
      <c r="A487" s="3"/>
    </row>
    <row r="488" spans="1:1" ht="18.75" customHeight="1">
      <c r="A488" s="3"/>
    </row>
    <row r="489" spans="1:1" ht="18.75" customHeight="1">
      <c r="A489" s="3"/>
    </row>
    <row r="490" spans="1:1" ht="18.75" customHeight="1">
      <c r="A490" s="3"/>
    </row>
    <row r="491" spans="1:1" ht="18.75" customHeight="1">
      <c r="A491" s="3"/>
    </row>
    <row r="492" spans="1:1" ht="18.75" customHeight="1">
      <c r="A492" s="3"/>
    </row>
    <row r="493" spans="1:1" ht="18.75" customHeight="1">
      <c r="A493" s="3"/>
    </row>
    <row r="494" spans="1:1" ht="18.75" customHeight="1">
      <c r="A494" s="3"/>
    </row>
    <row r="495" spans="1:1" ht="18.75" customHeight="1">
      <c r="A495" s="3"/>
    </row>
    <row r="496" spans="1:1" ht="18.75" customHeight="1">
      <c r="A496" s="3"/>
    </row>
    <row r="497" spans="1:1" ht="18.75" customHeight="1">
      <c r="A497" s="3"/>
    </row>
    <row r="498" spans="1:1" ht="18.75" customHeight="1">
      <c r="A498" s="3"/>
    </row>
    <row r="499" spans="1:1" ht="18.75" customHeight="1">
      <c r="A499" s="3"/>
    </row>
    <row r="500" spans="1:1" ht="18.75" customHeight="1">
      <c r="A500" s="3"/>
    </row>
    <row r="501" spans="1:1" ht="18.75" customHeight="1">
      <c r="A501" s="3"/>
    </row>
    <row r="502" spans="1:1" ht="18.75" customHeight="1">
      <c r="A502" s="3"/>
    </row>
    <row r="503" spans="1:1" ht="18.75" customHeight="1">
      <c r="A503" s="3"/>
    </row>
    <row r="504" spans="1:1" ht="18.75" customHeight="1">
      <c r="A504" s="3"/>
    </row>
    <row r="505" spans="1:1" ht="18.75" customHeight="1">
      <c r="A505" s="3"/>
    </row>
    <row r="506" spans="1:1" ht="18.75" customHeight="1">
      <c r="A506" s="3"/>
    </row>
    <row r="507" spans="1:1" ht="18.75" customHeight="1">
      <c r="A507" s="3"/>
    </row>
    <row r="508" spans="1:1" ht="18.75" customHeight="1">
      <c r="A508" s="3"/>
    </row>
    <row r="509" spans="1:1" ht="18.75" customHeight="1">
      <c r="A509" s="3"/>
    </row>
    <row r="510" spans="1:1" ht="18.75" customHeight="1">
      <c r="A510" s="3"/>
    </row>
    <row r="511" spans="1:1" ht="18.75" customHeight="1">
      <c r="A511" s="3"/>
    </row>
    <row r="512" spans="1:1" ht="18.75" customHeight="1">
      <c r="A512" s="3"/>
    </row>
    <row r="513" spans="1:5" ht="18.75" customHeight="1">
      <c r="A513" s="3"/>
    </row>
    <row r="514" spans="1:5" ht="18.75" customHeight="1">
      <c r="A514" s="3"/>
      <c r="C514" s="4"/>
      <c r="D514" s="1"/>
    </row>
    <row r="515" spans="1:5" ht="18.75" customHeight="1">
      <c r="A515" s="3"/>
      <c r="B515" s="5"/>
      <c r="C515" s="1"/>
      <c r="D515" s="1"/>
      <c r="E515" s="1"/>
    </row>
    <row r="516" spans="1:5" ht="18.75" customHeight="1">
      <c r="A516" s="3"/>
      <c r="C516" s="4"/>
      <c r="D516" s="1"/>
    </row>
    <row r="517" spans="1:5" ht="18.75" customHeight="1">
      <c r="A517" s="3"/>
      <c r="B517" s="5"/>
      <c r="C517" s="1"/>
      <c r="D517" s="1"/>
      <c r="E517" s="1"/>
    </row>
    <row r="518" spans="1:5" ht="18.75" customHeight="1">
      <c r="A518" s="3"/>
      <c r="C518" s="4"/>
      <c r="D518" s="1"/>
    </row>
    <row r="519" spans="1:5" ht="18.75" customHeight="1">
      <c r="A519" s="3"/>
      <c r="B519" s="5"/>
      <c r="C519" s="1"/>
      <c r="D519" s="1"/>
      <c r="E519" s="1"/>
    </row>
    <row r="520" spans="1:5" ht="18.75" customHeight="1">
      <c r="A520" s="3"/>
      <c r="C520" s="4"/>
      <c r="D520" s="1"/>
    </row>
    <row r="521" spans="1:5" ht="18.75" customHeight="1">
      <c r="A521" s="3"/>
      <c r="B521" s="5"/>
      <c r="C521" s="1"/>
      <c r="D521" s="1"/>
      <c r="E521" s="1"/>
    </row>
    <row r="522" spans="1:5" ht="18.75" customHeight="1">
      <c r="A522" s="3"/>
      <c r="C522" s="4"/>
      <c r="D522" s="1"/>
    </row>
    <row r="523" spans="1:5" ht="18.75" customHeight="1">
      <c r="A523" s="3"/>
      <c r="B523" s="5"/>
      <c r="C523" s="1"/>
      <c r="D523" s="1"/>
      <c r="E523" s="1"/>
    </row>
    <row r="524" spans="1:5" ht="18.75" customHeight="1">
      <c r="A524" s="3"/>
      <c r="C524" s="4"/>
      <c r="D524" s="1"/>
    </row>
    <row r="525" spans="1:5" ht="18.75" customHeight="1">
      <c r="A525" s="3"/>
      <c r="B525" s="5"/>
      <c r="C525" s="1"/>
      <c r="D525" s="1"/>
      <c r="E525" s="1"/>
    </row>
    <row r="526" spans="1:5" ht="18.75" customHeight="1">
      <c r="A526" s="3"/>
      <c r="C526" s="4"/>
      <c r="D526" s="1"/>
    </row>
    <row r="527" spans="1:5" ht="18.75" customHeight="1">
      <c r="A527" s="3"/>
      <c r="B527" s="5"/>
      <c r="C527" s="1"/>
      <c r="D527" s="1"/>
      <c r="E527" s="1"/>
    </row>
    <row r="528" spans="1:5" ht="18.75" customHeight="1">
      <c r="A528" s="3"/>
      <c r="C528" s="4"/>
      <c r="D528" s="1"/>
    </row>
    <row r="529" spans="1:5" ht="18.75" customHeight="1">
      <c r="A529" s="3"/>
      <c r="B529" s="5"/>
      <c r="C529" s="1"/>
      <c r="D529" s="1"/>
      <c r="E529" s="1"/>
    </row>
    <row r="530" spans="1:5" ht="18.75" customHeight="1">
      <c r="A530" s="3"/>
      <c r="C530" s="4"/>
      <c r="D530" s="1"/>
    </row>
    <row r="531" spans="1:5" ht="18.75" customHeight="1">
      <c r="A531" s="3"/>
      <c r="B531" s="5"/>
      <c r="C531" s="1"/>
      <c r="D531" s="1"/>
      <c r="E531" s="1"/>
    </row>
    <row r="532" spans="1:5" ht="18.75" customHeight="1">
      <c r="A532" s="3"/>
      <c r="C532" s="4"/>
      <c r="D532" s="1"/>
    </row>
    <row r="533" spans="1:5" ht="18.75" customHeight="1">
      <c r="A533" s="3"/>
      <c r="B533" s="5"/>
      <c r="C533" s="1"/>
      <c r="D533" s="1"/>
      <c r="E533" s="1"/>
    </row>
    <row r="534" spans="1:5" ht="18.75" customHeight="1">
      <c r="A534" s="3"/>
      <c r="C534" s="4"/>
      <c r="D534" s="1"/>
    </row>
    <row r="535" spans="1:5" ht="18.75" customHeight="1">
      <c r="A535" s="3"/>
      <c r="B535" s="5"/>
      <c r="C535" s="1"/>
      <c r="D535" s="1"/>
      <c r="E535" s="1"/>
    </row>
    <row r="536" spans="1:5" ht="18.75" customHeight="1">
      <c r="A536" s="3"/>
      <c r="C536" s="4"/>
      <c r="D536" s="1"/>
    </row>
    <row r="537" spans="1:5" ht="18.75" customHeight="1">
      <c r="A537" s="3"/>
      <c r="B537" s="5"/>
      <c r="C537" s="1"/>
      <c r="D537" s="1"/>
      <c r="E537" s="1"/>
    </row>
    <row r="538" spans="1:5" ht="18.75" customHeight="1">
      <c r="A538" s="3"/>
      <c r="C538" s="4"/>
      <c r="D538" s="1"/>
    </row>
    <row r="539" spans="1:5" ht="18.75" customHeight="1">
      <c r="A539" s="3"/>
      <c r="B539" s="5"/>
      <c r="C539" s="1"/>
      <c r="D539" s="1"/>
      <c r="E539" s="1"/>
    </row>
    <row r="540" spans="1:5" ht="18.75" customHeight="1">
      <c r="A540" s="3"/>
      <c r="C540" s="4"/>
      <c r="D540" s="1"/>
    </row>
    <row r="541" spans="1:5" ht="18.75" customHeight="1">
      <c r="A541" s="3"/>
      <c r="B541" s="5"/>
      <c r="C541" s="1"/>
      <c r="D541" s="1"/>
      <c r="E541" s="1"/>
    </row>
    <row r="542" spans="1:5" ht="18.75" customHeight="1">
      <c r="A542" s="3"/>
      <c r="C542" s="1"/>
      <c r="D542" s="1"/>
    </row>
    <row r="543" spans="1:5" ht="18.75" customHeight="1">
      <c r="A543" s="3"/>
      <c r="C543" s="1"/>
      <c r="D543" s="1"/>
    </row>
    <row r="544" spans="1:5" ht="18.75" customHeight="1">
      <c r="A544" s="3"/>
      <c r="C544" s="1"/>
      <c r="D544" s="1"/>
    </row>
    <row r="545" spans="1:4" ht="18.75" customHeight="1">
      <c r="A545" s="3"/>
      <c r="C545" s="1"/>
      <c r="D545" s="1"/>
    </row>
    <row r="546" spans="1:4" ht="18.75" customHeight="1"/>
    <row r="547" spans="1:4" ht="18.75" customHeight="1"/>
    <row r="548" spans="1:4" ht="18.75" customHeight="1"/>
    <row r="549" spans="1:4" ht="18.75" customHeight="1"/>
    <row r="550" spans="1:4" ht="18.75" customHeight="1"/>
    <row r="551" spans="1:4" ht="18.75" customHeight="1"/>
    <row r="552" spans="1:4" ht="18.75" customHeight="1"/>
    <row r="553" spans="1:4" ht="18.75" customHeight="1"/>
    <row r="554" spans="1:4" ht="18.75" customHeight="1"/>
    <row r="555" spans="1:4" ht="18.75" customHeight="1"/>
    <row r="556" spans="1:4" ht="18.75" customHeight="1"/>
    <row r="557" spans="1:4" ht="18.75" customHeight="1"/>
    <row r="558" spans="1:4" ht="18.75" customHeight="1"/>
    <row r="559" spans="1:4" ht="18.75" customHeight="1"/>
    <row r="560" spans="1:4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  <row r="1005" ht="18.75" customHeight="1"/>
    <row r="1006" ht="18.75" customHeight="1"/>
    <row r="1007" ht="18.75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3"/>
  <sheetViews>
    <sheetView topLeftCell="A311" zoomScaleNormal="100" workbookViewId="0">
      <selection activeCell="C328" sqref="C328"/>
    </sheetView>
  </sheetViews>
  <sheetFormatPr defaultColWidth="16.625" defaultRowHeight="15"/>
  <cols>
    <col min="1" max="1" width="17.75" customWidth="1"/>
    <col min="2" max="2" width="19.875" customWidth="1"/>
    <col min="3" max="3" width="43.5" customWidth="1"/>
    <col min="4" max="4" width="17.75" customWidth="1"/>
    <col min="5" max="27" width="10" customWidth="1"/>
  </cols>
  <sheetData>
    <row r="1" spans="1:6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>
      <c r="A2" s="2">
        <v>43055</v>
      </c>
      <c r="B2" s="1"/>
      <c r="C2" s="1" t="s">
        <v>26</v>
      </c>
      <c r="D2" s="1" t="s">
        <v>27</v>
      </c>
      <c r="E2" s="1">
        <v>500000</v>
      </c>
      <c r="F2" s="1" t="s">
        <v>8</v>
      </c>
    </row>
    <row r="3" spans="1:6" ht="18.75" customHeight="1">
      <c r="A3" s="2">
        <v>43056</v>
      </c>
      <c r="B3" s="1"/>
      <c r="C3" s="1" t="s">
        <v>6</v>
      </c>
      <c r="D3" s="1" t="s">
        <v>7</v>
      </c>
      <c r="E3" s="1">
        <v>100000</v>
      </c>
      <c r="F3" s="1" t="s">
        <v>8</v>
      </c>
    </row>
    <row r="4" spans="1:6" ht="18.75" customHeight="1">
      <c r="A4" s="2">
        <v>43057</v>
      </c>
      <c r="B4" s="1"/>
      <c r="C4" s="1" t="s">
        <v>26</v>
      </c>
      <c r="D4" s="1" t="s">
        <v>27</v>
      </c>
      <c r="E4" s="1">
        <v>500000</v>
      </c>
      <c r="F4" s="1" t="s">
        <v>8</v>
      </c>
    </row>
    <row r="5" spans="1:6" ht="18.75" customHeight="1">
      <c r="A5" s="2">
        <v>43060</v>
      </c>
      <c r="B5" s="1"/>
      <c r="C5" s="1" t="s">
        <v>6</v>
      </c>
      <c r="D5" s="1" t="s">
        <v>7</v>
      </c>
      <c r="E5" s="1">
        <v>900000</v>
      </c>
      <c r="F5" s="1" t="s">
        <v>8</v>
      </c>
    </row>
    <row r="6" spans="1:6" ht="18.75" customHeight="1">
      <c r="A6" s="2">
        <v>43063</v>
      </c>
      <c r="B6" s="1"/>
      <c r="C6" s="1" t="s">
        <v>6</v>
      </c>
      <c r="D6" s="1" t="s">
        <v>7</v>
      </c>
      <c r="E6" s="1">
        <v>4000000</v>
      </c>
      <c r="F6" s="1">
        <v>1608558</v>
      </c>
    </row>
    <row r="7" spans="1:6" ht="18.75" customHeight="1">
      <c r="A7" s="2">
        <v>43066</v>
      </c>
      <c r="B7" s="1"/>
      <c r="C7" s="1" t="s">
        <v>9</v>
      </c>
      <c r="D7" s="1" t="s">
        <v>10</v>
      </c>
      <c r="E7" s="1">
        <v>5000000</v>
      </c>
    </row>
    <row r="8" spans="1:6" ht="18.75" customHeight="1">
      <c r="A8" s="2">
        <v>43073</v>
      </c>
      <c r="B8" s="1"/>
      <c r="C8" s="1" t="s">
        <v>26</v>
      </c>
      <c r="D8" s="1" t="s">
        <v>27</v>
      </c>
      <c r="E8" s="1">
        <v>1000000</v>
      </c>
      <c r="F8" s="1">
        <v>248936</v>
      </c>
    </row>
    <row r="9" spans="1:6" ht="18.75" customHeight="1">
      <c r="A9" s="2">
        <v>43074</v>
      </c>
      <c r="B9" s="1"/>
      <c r="C9" s="1" t="s">
        <v>26</v>
      </c>
      <c r="D9" s="1" t="s">
        <v>27</v>
      </c>
      <c r="E9" s="1">
        <v>1000000</v>
      </c>
      <c r="F9" s="1">
        <v>249788</v>
      </c>
    </row>
    <row r="10" spans="1:6" ht="18.75" customHeight="1">
      <c r="A10" s="2">
        <v>43082</v>
      </c>
      <c r="B10" s="1"/>
      <c r="C10" s="1" t="s">
        <v>26</v>
      </c>
      <c r="D10" s="1" t="s">
        <v>27</v>
      </c>
      <c r="E10" s="1">
        <v>2000000</v>
      </c>
      <c r="F10" s="1">
        <v>490148</v>
      </c>
    </row>
    <row r="11" spans="1:6" ht="18.75" customHeight="1">
      <c r="A11" s="3">
        <v>43090</v>
      </c>
      <c r="B11" s="1"/>
      <c r="C11" s="1" t="s">
        <v>9</v>
      </c>
      <c r="D11" s="1" t="s">
        <v>10</v>
      </c>
      <c r="E11" s="1">
        <v>5000000</v>
      </c>
    </row>
    <row r="12" spans="1:6" ht="18.75" customHeight="1">
      <c r="A12" s="3">
        <v>43112</v>
      </c>
      <c r="B12" s="1"/>
      <c r="C12" s="4" t="s">
        <v>11</v>
      </c>
      <c r="D12" s="1" t="s">
        <v>10</v>
      </c>
      <c r="E12" s="1">
        <v>5000000</v>
      </c>
    </row>
    <row r="13" spans="1:6" ht="18.75" customHeight="1">
      <c r="A13" s="3">
        <v>43126</v>
      </c>
      <c r="B13" s="1"/>
      <c r="C13" s="4" t="s">
        <v>11</v>
      </c>
      <c r="D13" s="1" t="s">
        <v>10</v>
      </c>
      <c r="E13" s="1">
        <v>4000000</v>
      </c>
    </row>
    <row r="14" spans="1:6" ht="18.75" customHeight="1">
      <c r="A14" s="3">
        <v>43129</v>
      </c>
      <c r="B14" s="1"/>
      <c r="C14" s="4" t="s">
        <v>11</v>
      </c>
      <c r="D14" s="1" t="s">
        <v>10</v>
      </c>
      <c r="E14" s="1">
        <v>1000000</v>
      </c>
    </row>
    <row r="15" spans="1:6" ht="18.75" customHeight="1">
      <c r="A15" s="3">
        <v>43132</v>
      </c>
      <c r="B15" s="1" t="s">
        <v>12</v>
      </c>
      <c r="C15" s="4" t="s">
        <v>13</v>
      </c>
      <c r="D15" s="1" t="s">
        <v>14</v>
      </c>
      <c r="E15" s="1">
        <v>33333</v>
      </c>
    </row>
    <row r="16" spans="1:6" ht="18.75" customHeight="1">
      <c r="A16" s="3">
        <v>43160</v>
      </c>
      <c r="B16" s="1" t="s">
        <v>12</v>
      </c>
      <c r="C16" s="4" t="s">
        <v>13</v>
      </c>
      <c r="D16" s="1" t="s">
        <v>14</v>
      </c>
      <c r="E16" s="1">
        <v>33333</v>
      </c>
    </row>
    <row r="17" spans="1:5" ht="18.75" customHeight="1">
      <c r="A17" s="3">
        <v>43194</v>
      </c>
      <c r="B17" s="1" t="s">
        <v>12</v>
      </c>
      <c r="C17" s="4" t="s">
        <v>13</v>
      </c>
      <c r="D17" s="1" t="s">
        <v>14</v>
      </c>
      <c r="E17" s="1">
        <v>33333</v>
      </c>
    </row>
    <row r="18" spans="1:5" ht="18.75" customHeight="1">
      <c r="A18" s="3">
        <v>43227</v>
      </c>
      <c r="B18" s="1" t="s">
        <v>12</v>
      </c>
      <c r="C18" s="4" t="s">
        <v>13</v>
      </c>
      <c r="D18" s="1" t="s">
        <v>14</v>
      </c>
      <c r="E18" s="1">
        <v>33333</v>
      </c>
    </row>
    <row r="19" spans="1:5" ht="18.75" customHeight="1">
      <c r="A19" s="3">
        <v>43252</v>
      </c>
      <c r="B19" s="1" t="s">
        <v>12</v>
      </c>
      <c r="C19" s="4" t="s">
        <v>13</v>
      </c>
      <c r="D19" s="1" t="s">
        <v>14</v>
      </c>
      <c r="E19" s="1">
        <v>33333</v>
      </c>
    </row>
    <row r="20" spans="1:5" ht="18.75" customHeight="1">
      <c r="A20" s="3">
        <v>43285</v>
      </c>
      <c r="B20" s="1" t="s">
        <v>12</v>
      </c>
      <c r="C20" s="4" t="s">
        <v>13</v>
      </c>
      <c r="D20" s="1" t="s">
        <v>14</v>
      </c>
      <c r="E20" s="1">
        <v>33333</v>
      </c>
    </row>
    <row r="21" spans="1:5" ht="18.75" customHeight="1">
      <c r="A21" s="3">
        <v>43313</v>
      </c>
      <c r="B21" s="1" t="s">
        <v>12</v>
      </c>
      <c r="C21" s="4" t="s">
        <v>13</v>
      </c>
      <c r="D21" s="1" t="s">
        <v>14</v>
      </c>
      <c r="E21" s="1">
        <v>33333</v>
      </c>
    </row>
    <row r="22" spans="1:5" ht="18.75" customHeight="1">
      <c r="A22" s="3">
        <v>43346</v>
      </c>
      <c r="B22" s="1" t="s">
        <v>12</v>
      </c>
      <c r="C22" s="4" t="s">
        <v>13</v>
      </c>
      <c r="D22" s="1" t="s">
        <v>14</v>
      </c>
      <c r="E22" s="1">
        <v>33333</v>
      </c>
    </row>
    <row r="23" spans="1:5" ht="18.75" customHeight="1">
      <c r="A23" s="3">
        <v>43376</v>
      </c>
      <c r="B23" s="1" t="s">
        <v>12</v>
      </c>
      <c r="C23" s="4" t="s">
        <v>13</v>
      </c>
      <c r="D23" s="1" t="s">
        <v>14</v>
      </c>
      <c r="E23" s="1">
        <v>33333</v>
      </c>
    </row>
    <row r="24" spans="1:5" ht="18.75" customHeight="1">
      <c r="A24" s="3">
        <v>43405</v>
      </c>
      <c r="B24" s="1" t="s">
        <v>12</v>
      </c>
      <c r="C24" s="4" t="s">
        <v>13</v>
      </c>
      <c r="D24" s="1" t="s">
        <v>14</v>
      </c>
      <c r="E24" s="1">
        <v>33333</v>
      </c>
    </row>
    <row r="25" spans="1:5" ht="18.75" customHeight="1">
      <c r="A25" s="3">
        <v>43437</v>
      </c>
      <c r="B25" s="1" t="s">
        <v>12</v>
      </c>
      <c r="C25" s="4" t="s">
        <v>13</v>
      </c>
      <c r="D25" s="1" t="s">
        <v>14</v>
      </c>
      <c r="E25" s="1">
        <v>33333</v>
      </c>
    </row>
    <row r="26" spans="1:5" ht="18.75" customHeight="1">
      <c r="A26" s="3">
        <v>43472</v>
      </c>
      <c r="B26" s="1" t="s">
        <v>12</v>
      </c>
      <c r="C26" s="4" t="s">
        <v>13</v>
      </c>
      <c r="D26" s="1" t="s">
        <v>14</v>
      </c>
      <c r="E26" s="1">
        <v>33333</v>
      </c>
    </row>
    <row r="27" spans="1:5" ht="18.75" customHeight="1">
      <c r="A27" s="3">
        <v>43497</v>
      </c>
      <c r="B27" s="1" t="s">
        <v>12</v>
      </c>
      <c r="C27" s="4" t="s">
        <v>13</v>
      </c>
      <c r="D27" s="1" t="s">
        <v>14</v>
      </c>
      <c r="E27" s="1">
        <v>33333</v>
      </c>
    </row>
    <row r="28" spans="1:5" ht="18.75" customHeight="1">
      <c r="A28" s="3">
        <v>43525</v>
      </c>
      <c r="B28" s="1" t="s">
        <v>12</v>
      </c>
      <c r="C28" s="4" t="s">
        <v>13</v>
      </c>
      <c r="D28" s="1" t="s">
        <v>14</v>
      </c>
      <c r="E28" s="1">
        <v>33333</v>
      </c>
    </row>
    <row r="29" spans="1:5" ht="18.75" customHeight="1">
      <c r="A29" s="3">
        <v>43557</v>
      </c>
      <c r="B29" s="1" t="s">
        <v>12</v>
      </c>
      <c r="C29" s="4" t="s">
        <v>13</v>
      </c>
      <c r="D29" s="1" t="s">
        <v>14</v>
      </c>
      <c r="E29" s="1">
        <v>33333</v>
      </c>
    </row>
    <row r="30" spans="1:5" ht="18.75" customHeight="1">
      <c r="A30" s="3">
        <v>43593</v>
      </c>
      <c r="B30" s="1" t="s">
        <v>12</v>
      </c>
      <c r="C30" s="4" t="s">
        <v>13</v>
      </c>
      <c r="D30" s="1" t="s">
        <v>14</v>
      </c>
      <c r="E30" s="1">
        <v>33333</v>
      </c>
    </row>
    <row r="31" spans="1:5" ht="18.75" customHeight="1">
      <c r="A31" s="3">
        <v>43619</v>
      </c>
      <c r="B31" s="1" t="s">
        <v>12</v>
      </c>
      <c r="C31" s="4" t="s">
        <v>13</v>
      </c>
      <c r="D31" s="1" t="s">
        <v>14</v>
      </c>
      <c r="E31" s="1">
        <v>33333</v>
      </c>
    </row>
    <row r="32" spans="1:5" ht="18.75" customHeight="1">
      <c r="A32" s="3">
        <v>43628</v>
      </c>
      <c r="C32" s="4" t="s">
        <v>15</v>
      </c>
      <c r="D32" s="1" t="s">
        <v>16</v>
      </c>
      <c r="E32" s="1">
        <v>66667</v>
      </c>
    </row>
    <row r="33" spans="1:6" ht="18.75" customHeight="1">
      <c r="A33" s="3">
        <v>43649</v>
      </c>
      <c r="B33" s="1" t="s">
        <v>12</v>
      </c>
      <c r="C33" s="4" t="s">
        <v>13</v>
      </c>
      <c r="D33" s="1" t="s">
        <v>14</v>
      </c>
      <c r="E33" s="1">
        <v>33333</v>
      </c>
    </row>
    <row r="34" spans="1:6" ht="18.75" customHeight="1">
      <c r="A34" s="3">
        <v>43658</v>
      </c>
      <c r="C34" s="4" t="s">
        <v>15</v>
      </c>
      <c r="D34" s="1" t="s">
        <v>16</v>
      </c>
      <c r="E34" s="1">
        <v>66667</v>
      </c>
    </row>
    <row r="35" spans="1:6" ht="18.75" customHeight="1">
      <c r="A35" s="3">
        <v>43678</v>
      </c>
      <c r="B35" s="1" t="s">
        <v>12</v>
      </c>
      <c r="C35" s="4" t="s">
        <v>13</v>
      </c>
      <c r="D35" s="1" t="s">
        <v>14</v>
      </c>
      <c r="E35" s="1">
        <v>33333</v>
      </c>
    </row>
    <row r="36" spans="1:6" ht="18.75" customHeight="1">
      <c r="A36" s="3">
        <v>43691</v>
      </c>
      <c r="C36" s="4" t="s">
        <v>15</v>
      </c>
      <c r="D36" s="1" t="s">
        <v>16</v>
      </c>
      <c r="E36" s="1">
        <v>66667</v>
      </c>
    </row>
    <row r="37" spans="1:6" ht="18.75" customHeight="1">
      <c r="A37" s="3">
        <v>43712</v>
      </c>
      <c r="B37" s="1" t="s">
        <v>12</v>
      </c>
      <c r="C37" s="4" t="s">
        <v>13</v>
      </c>
      <c r="D37" s="1" t="s">
        <v>14</v>
      </c>
      <c r="E37" s="1">
        <v>33333</v>
      </c>
    </row>
    <row r="38" spans="1:6" ht="18.75" customHeight="1">
      <c r="A38" s="3">
        <v>43720</v>
      </c>
      <c r="C38" s="4" t="s">
        <v>15</v>
      </c>
      <c r="D38" s="1" t="s">
        <v>16</v>
      </c>
      <c r="E38" s="1">
        <v>66667</v>
      </c>
    </row>
    <row r="39" spans="1:6" ht="18.75" customHeight="1">
      <c r="A39" s="3">
        <v>43739</v>
      </c>
      <c r="B39" s="1" t="s">
        <v>12</v>
      </c>
      <c r="C39" s="4" t="s">
        <v>13</v>
      </c>
      <c r="D39" s="1" t="s">
        <v>14</v>
      </c>
      <c r="E39" s="1">
        <v>33333</v>
      </c>
    </row>
    <row r="40" spans="1:6" ht="18.75" customHeight="1">
      <c r="A40" s="3">
        <v>43753</v>
      </c>
      <c r="C40" s="4" t="s">
        <v>15</v>
      </c>
      <c r="D40" s="1" t="s">
        <v>16</v>
      </c>
      <c r="E40" s="1">
        <v>66667</v>
      </c>
    </row>
    <row r="41" spans="1:6" ht="18.75" customHeight="1">
      <c r="A41" s="3">
        <v>43770</v>
      </c>
      <c r="B41" s="1" t="s">
        <v>12</v>
      </c>
      <c r="C41" s="4" t="s">
        <v>13</v>
      </c>
      <c r="D41" s="1" t="s">
        <v>14</v>
      </c>
      <c r="E41" s="1">
        <v>33333</v>
      </c>
    </row>
    <row r="42" spans="1:6" ht="18.75" customHeight="1">
      <c r="A42" s="3">
        <v>43782</v>
      </c>
      <c r="C42" s="4" t="s">
        <v>15</v>
      </c>
      <c r="D42" s="1" t="s">
        <v>16</v>
      </c>
      <c r="E42" s="1">
        <v>66667</v>
      </c>
    </row>
    <row r="43" spans="1:6" ht="18.75" customHeight="1">
      <c r="A43" s="3">
        <v>43802</v>
      </c>
      <c r="B43" s="1" t="s">
        <v>12</v>
      </c>
      <c r="C43" s="4" t="s">
        <v>13</v>
      </c>
      <c r="D43" s="1" t="s">
        <v>14</v>
      </c>
      <c r="E43" s="1">
        <v>33333</v>
      </c>
    </row>
    <row r="44" spans="1:6" ht="18.75" customHeight="1">
      <c r="A44" s="3">
        <v>43811</v>
      </c>
      <c r="C44" s="4" t="s">
        <v>15</v>
      </c>
      <c r="D44" s="1" t="s">
        <v>16</v>
      </c>
      <c r="E44" s="1">
        <v>66667</v>
      </c>
    </row>
    <row r="45" spans="1:6" ht="18.75" customHeight="1">
      <c r="A45" s="2">
        <v>43815</v>
      </c>
      <c r="B45" s="1"/>
      <c r="C45" s="1" t="s">
        <v>26</v>
      </c>
      <c r="D45" s="1" t="s">
        <v>27</v>
      </c>
      <c r="E45" s="1">
        <f>-5047982-4602</f>
        <v>-5052584</v>
      </c>
      <c r="F45" s="1"/>
    </row>
    <row r="46" spans="1:6" ht="18.75" customHeight="1">
      <c r="A46" s="3">
        <v>43837</v>
      </c>
      <c r="B46" s="1" t="s">
        <v>12</v>
      </c>
      <c r="C46" s="4" t="s">
        <v>13</v>
      </c>
      <c r="D46" s="1" t="s">
        <v>14</v>
      </c>
      <c r="E46" s="1">
        <v>33333</v>
      </c>
    </row>
    <row r="47" spans="1:6" ht="18.75" customHeight="1">
      <c r="A47" s="3">
        <v>43845</v>
      </c>
      <c r="B47" s="1" t="s">
        <v>12</v>
      </c>
      <c r="C47" s="4" t="s">
        <v>13</v>
      </c>
      <c r="D47" s="1" t="s">
        <v>14</v>
      </c>
      <c r="E47" s="1">
        <v>33333</v>
      </c>
    </row>
    <row r="48" spans="1:6" ht="18.75" customHeight="1">
      <c r="A48" s="3">
        <v>43845</v>
      </c>
      <c r="C48" s="4" t="s">
        <v>15</v>
      </c>
      <c r="D48" s="1" t="s">
        <v>16</v>
      </c>
      <c r="E48" s="1">
        <v>166667</v>
      </c>
    </row>
    <row r="49" spans="1:5" ht="18.75" customHeight="1">
      <c r="A49" s="3">
        <v>43874</v>
      </c>
      <c r="B49" s="1" t="s">
        <v>12</v>
      </c>
      <c r="C49" s="4" t="s">
        <v>13</v>
      </c>
      <c r="D49" s="1" t="s">
        <v>14</v>
      </c>
      <c r="E49" s="1">
        <v>33333</v>
      </c>
    </row>
    <row r="50" spans="1:5" ht="18.75" customHeight="1">
      <c r="A50" s="3">
        <v>43874</v>
      </c>
      <c r="C50" s="4" t="s">
        <v>15</v>
      </c>
      <c r="D50" s="1" t="s">
        <v>16</v>
      </c>
      <c r="E50" s="1">
        <v>166667</v>
      </c>
    </row>
    <row r="51" spans="1:5" ht="18.75" customHeight="1">
      <c r="A51" s="3">
        <v>43899</v>
      </c>
      <c r="C51" s="4" t="s">
        <v>15</v>
      </c>
      <c r="D51" s="1" t="s">
        <v>16</v>
      </c>
      <c r="E51" s="1">
        <v>5000000</v>
      </c>
    </row>
    <row r="52" spans="1:5" ht="18.75" customHeight="1">
      <c r="A52" s="3">
        <v>43902</v>
      </c>
      <c r="B52" s="1" t="s">
        <v>12</v>
      </c>
      <c r="C52" s="4" t="s">
        <v>13</v>
      </c>
      <c r="D52" s="1" t="s">
        <v>14</v>
      </c>
      <c r="E52" s="1">
        <v>33333</v>
      </c>
    </row>
    <row r="53" spans="1:5" ht="18.75" customHeight="1">
      <c r="A53" s="3">
        <v>43902</v>
      </c>
      <c r="C53" s="4" t="s">
        <v>15</v>
      </c>
      <c r="D53" s="1" t="s">
        <v>16</v>
      </c>
      <c r="E53" s="1">
        <v>166667</v>
      </c>
    </row>
    <row r="54" spans="1:5" ht="18.75" customHeight="1">
      <c r="A54" s="3">
        <v>43936</v>
      </c>
      <c r="B54" s="1" t="s">
        <v>12</v>
      </c>
      <c r="C54" s="4" t="s">
        <v>13</v>
      </c>
      <c r="D54" s="1" t="s">
        <v>14</v>
      </c>
      <c r="E54" s="1">
        <v>33333</v>
      </c>
    </row>
    <row r="55" spans="1:5" ht="18.75" customHeight="1">
      <c r="A55" s="3">
        <v>43936</v>
      </c>
      <c r="C55" s="4" t="s">
        <v>15</v>
      </c>
      <c r="D55" s="1" t="s">
        <v>16</v>
      </c>
      <c r="E55" s="1">
        <v>166667</v>
      </c>
    </row>
    <row r="56" spans="1:5" ht="18.75" customHeight="1">
      <c r="A56" s="3">
        <v>43963</v>
      </c>
      <c r="B56" s="1" t="s">
        <v>12</v>
      </c>
      <c r="C56" s="4" t="s">
        <v>13</v>
      </c>
      <c r="D56" s="1" t="s">
        <v>14</v>
      </c>
      <c r="E56" s="1">
        <v>33333</v>
      </c>
    </row>
    <row r="57" spans="1:5" ht="18.75" customHeight="1">
      <c r="A57" s="3">
        <v>43963</v>
      </c>
      <c r="C57" s="4" t="s">
        <v>15</v>
      </c>
      <c r="D57" s="1" t="s">
        <v>16</v>
      </c>
      <c r="E57" s="1">
        <v>166667</v>
      </c>
    </row>
    <row r="58" spans="1:5" ht="18.75" customHeight="1">
      <c r="A58" s="3">
        <v>43994</v>
      </c>
      <c r="B58" s="1" t="s">
        <v>12</v>
      </c>
      <c r="C58" s="4" t="s">
        <v>13</v>
      </c>
      <c r="D58" s="1" t="s">
        <v>14</v>
      </c>
      <c r="E58" s="1">
        <v>33333</v>
      </c>
    </row>
    <row r="59" spans="1:5" ht="18.75" customHeight="1">
      <c r="A59" s="3">
        <v>43994</v>
      </c>
      <c r="C59" s="4" t="s">
        <v>15</v>
      </c>
      <c r="D59" s="1" t="s">
        <v>16</v>
      </c>
      <c r="E59" s="1">
        <v>166667</v>
      </c>
    </row>
    <row r="60" spans="1:5" ht="18.75" customHeight="1">
      <c r="A60" s="3">
        <v>44026</v>
      </c>
      <c r="B60" s="1" t="s">
        <v>12</v>
      </c>
      <c r="C60" s="4" t="s">
        <v>13</v>
      </c>
      <c r="D60" s="1" t="s">
        <v>14</v>
      </c>
      <c r="E60" s="1">
        <v>33333</v>
      </c>
    </row>
    <row r="61" spans="1:5" ht="18.75" customHeight="1">
      <c r="A61" s="3">
        <v>44026</v>
      </c>
      <c r="C61" s="4" t="s">
        <v>15</v>
      </c>
      <c r="D61" s="1" t="s">
        <v>16</v>
      </c>
      <c r="E61" s="1">
        <v>166667</v>
      </c>
    </row>
    <row r="62" spans="1:5" ht="18.75" customHeight="1">
      <c r="A62" s="3">
        <v>44055</v>
      </c>
      <c r="B62" s="1" t="s">
        <v>12</v>
      </c>
      <c r="C62" s="4" t="s">
        <v>13</v>
      </c>
      <c r="D62" s="1" t="s">
        <v>14</v>
      </c>
      <c r="E62" s="1">
        <v>33333</v>
      </c>
    </row>
    <row r="63" spans="1:5" ht="18.75" customHeight="1">
      <c r="A63" s="3">
        <v>44055</v>
      </c>
      <c r="C63" s="4" t="s">
        <v>15</v>
      </c>
      <c r="D63" s="1" t="s">
        <v>16</v>
      </c>
      <c r="E63" s="1">
        <v>166667</v>
      </c>
    </row>
    <row r="64" spans="1:5" ht="18.75" customHeight="1">
      <c r="A64" s="3">
        <v>44088</v>
      </c>
      <c r="B64" s="1" t="s">
        <v>12</v>
      </c>
      <c r="C64" s="4" t="s">
        <v>13</v>
      </c>
      <c r="D64" s="1" t="s">
        <v>14</v>
      </c>
      <c r="E64" s="1">
        <v>33333</v>
      </c>
    </row>
    <row r="65" spans="1:5" ht="18.75" customHeight="1">
      <c r="A65" s="3">
        <v>44088</v>
      </c>
      <c r="C65" s="4" t="s">
        <v>15</v>
      </c>
      <c r="D65" s="1" t="s">
        <v>16</v>
      </c>
      <c r="E65" s="1">
        <v>166667</v>
      </c>
    </row>
    <row r="66" spans="1:5" ht="18.75" customHeight="1">
      <c r="A66" s="3">
        <v>44118</v>
      </c>
      <c r="B66" s="1" t="s">
        <v>12</v>
      </c>
      <c r="C66" s="4" t="s">
        <v>13</v>
      </c>
      <c r="D66" s="1" t="s">
        <v>14</v>
      </c>
      <c r="E66" s="1">
        <v>33333</v>
      </c>
    </row>
    <row r="67" spans="1:5" ht="18.75" customHeight="1">
      <c r="A67" s="3">
        <v>44118</v>
      </c>
      <c r="C67" s="4" t="s">
        <v>15</v>
      </c>
      <c r="D67" s="1" t="s">
        <v>16</v>
      </c>
      <c r="E67" s="1">
        <v>166667</v>
      </c>
    </row>
    <row r="68" spans="1:5" ht="18.75" customHeight="1">
      <c r="A68" s="3">
        <v>44148</v>
      </c>
      <c r="B68" s="1" t="s">
        <v>12</v>
      </c>
      <c r="C68" s="4" t="s">
        <v>13</v>
      </c>
      <c r="D68" s="1" t="s">
        <v>14</v>
      </c>
      <c r="E68" s="1">
        <v>33333</v>
      </c>
    </row>
    <row r="69" spans="1:5" ht="18.75" customHeight="1">
      <c r="A69" s="3">
        <v>44148</v>
      </c>
      <c r="C69" s="4" t="s">
        <v>15</v>
      </c>
      <c r="D69" s="1" t="s">
        <v>16</v>
      </c>
      <c r="E69" s="1">
        <v>166667</v>
      </c>
    </row>
    <row r="70" spans="1:5" ht="18.75" customHeight="1">
      <c r="A70" s="3">
        <v>44179</v>
      </c>
      <c r="C70" s="4" t="s">
        <v>15</v>
      </c>
      <c r="D70" s="1" t="s">
        <v>14</v>
      </c>
      <c r="E70" s="1">
        <v>166667</v>
      </c>
    </row>
    <row r="71" spans="1:5" ht="18.75" customHeight="1">
      <c r="A71" s="3">
        <v>44209</v>
      </c>
      <c r="B71" s="1" t="s">
        <v>12</v>
      </c>
      <c r="C71" s="4" t="s">
        <v>13</v>
      </c>
      <c r="D71" s="1" t="s">
        <v>16</v>
      </c>
      <c r="E71" s="1">
        <v>33333</v>
      </c>
    </row>
    <row r="72" spans="1:5" ht="18.75" customHeight="1">
      <c r="A72" s="3">
        <v>44209</v>
      </c>
      <c r="C72" s="4" t="s">
        <v>15</v>
      </c>
      <c r="D72" s="1" t="s">
        <v>14</v>
      </c>
      <c r="E72" s="1">
        <v>166667</v>
      </c>
    </row>
    <row r="73" spans="1:5" ht="18.75" customHeight="1">
      <c r="A73" s="3">
        <v>44244</v>
      </c>
      <c r="B73" s="1" t="s">
        <v>12</v>
      </c>
      <c r="C73" s="4" t="s">
        <v>13</v>
      </c>
      <c r="D73" s="1" t="s">
        <v>16</v>
      </c>
      <c r="E73" s="1">
        <v>33333</v>
      </c>
    </row>
    <row r="74" spans="1:5" ht="18.75" customHeight="1">
      <c r="A74" s="3">
        <v>44244</v>
      </c>
      <c r="C74" s="4" t="s">
        <v>15</v>
      </c>
      <c r="D74" s="1" t="s">
        <v>14</v>
      </c>
      <c r="E74" s="1">
        <v>166667</v>
      </c>
    </row>
    <row r="75" spans="1:5" ht="18.75" customHeight="1">
      <c r="A75" s="3">
        <v>44267</v>
      </c>
      <c r="B75" s="1" t="s">
        <v>12</v>
      </c>
      <c r="C75" s="4" t="s">
        <v>13</v>
      </c>
      <c r="D75" s="1" t="s">
        <v>16</v>
      </c>
      <c r="E75" s="1">
        <v>33333</v>
      </c>
    </row>
    <row r="76" spans="1:5" ht="18.75" customHeight="1">
      <c r="A76" s="3">
        <v>44267</v>
      </c>
      <c r="C76" s="4" t="s">
        <v>15</v>
      </c>
      <c r="D76" s="1" t="s">
        <v>14</v>
      </c>
      <c r="E76" s="1">
        <v>166667</v>
      </c>
    </row>
    <row r="77" spans="1:5" ht="18.75" customHeight="1">
      <c r="A77" s="3">
        <v>44299</v>
      </c>
      <c r="B77" s="1" t="s">
        <v>12</v>
      </c>
      <c r="C77" s="4" t="s">
        <v>13</v>
      </c>
      <c r="D77" s="1" t="s">
        <v>16</v>
      </c>
      <c r="E77" s="1">
        <v>33333</v>
      </c>
    </row>
    <row r="78" spans="1:5" ht="18.75" customHeight="1">
      <c r="A78" s="3">
        <v>44299</v>
      </c>
      <c r="C78" s="4" t="s">
        <v>15</v>
      </c>
      <c r="D78" s="1" t="s">
        <v>16</v>
      </c>
      <c r="E78" s="1">
        <v>166667</v>
      </c>
    </row>
    <row r="79" spans="1:5" ht="18.75" customHeight="1">
      <c r="A79" s="3">
        <v>44328</v>
      </c>
      <c r="B79" s="1" t="s">
        <v>12</v>
      </c>
      <c r="C79" s="4" t="s">
        <v>15</v>
      </c>
      <c r="D79" s="1" t="s">
        <v>16</v>
      </c>
      <c r="E79" s="1">
        <v>33333</v>
      </c>
    </row>
    <row r="80" spans="1:5" ht="18.75" customHeight="1">
      <c r="A80" s="3">
        <v>44328</v>
      </c>
      <c r="C80" s="4" t="s">
        <v>15</v>
      </c>
      <c r="D80" s="1" t="s">
        <v>16</v>
      </c>
      <c r="E80" s="1">
        <v>166667</v>
      </c>
    </row>
    <row r="81" spans="1:5" ht="18.75" customHeight="1">
      <c r="A81" s="3">
        <v>44361</v>
      </c>
      <c r="B81" s="1" t="s">
        <v>12</v>
      </c>
      <c r="C81" s="4" t="s">
        <v>15</v>
      </c>
      <c r="D81" s="1" t="s">
        <v>16</v>
      </c>
      <c r="E81" s="1">
        <v>33333</v>
      </c>
    </row>
    <row r="82" spans="1:5" ht="18.75" customHeight="1">
      <c r="A82" s="3">
        <v>44361</v>
      </c>
      <c r="C82" s="4" t="s">
        <v>15</v>
      </c>
      <c r="D82" s="1" t="s">
        <v>16</v>
      </c>
      <c r="E82" s="1">
        <v>166667</v>
      </c>
    </row>
    <row r="83" spans="1:5" ht="18.75" customHeight="1">
      <c r="A83" s="3">
        <v>44390</v>
      </c>
      <c r="B83" s="1" t="s">
        <v>12</v>
      </c>
      <c r="C83" s="4" t="s">
        <v>15</v>
      </c>
      <c r="D83" s="1" t="s">
        <v>16</v>
      </c>
      <c r="E83" s="1">
        <v>33333</v>
      </c>
    </row>
    <row r="84" spans="1:5" ht="18.75" customHeight="1">
      <c r="A84" s="3">
        <v>44390</v>
      </c>
      <c r="C84" s="4" t="s">
        <v>15</v>
      </c>
      <c r="D84" s="1" t="s">
        <v>16</v>
      </c>
      <c r="E84" s="1">
        <v>166667</v>
      </c>
    </row>
    <row r="85" spans="1:5" ht="18.75" customHeight="1">
      <c r="A85" s="3">
        <v>44420</v>
      </c>
      <c r="B85" s="1" t="s">
        <v>12</v>
      </c>
      <c r="C85" s="4" t="s">
        <v>15</v>
      </c>
      <c r="D85" s="1" t="s">
        <v>16</v>
      </c>
      <c r="E85" s="1">
        <v>33333</v>
      </c>
    </row>
    <row r="86" spans="1:5" ht="18.75" customHeight="1">
      <c r="A86" s="3">
        <v>44420</v>
      </c>
      <c r="C86" s="4" t="s">
        <v>15</v>
      </c>
      <c r="D86" s="1" t="s">
        <v>16</v>
      </c>
      <c r="E86" s="1">
        <v>166667</v>
      </c>
    </row>
    <row r="87" spans="1:5" ht="18.75" customHeight="1">
      <c r="A87" s="3">
        <v>44453</v>
      </c>
      <c r="B87" s="1" t="s">
        <v>12</v>
      </c>
      <c r="C87" s="4" t="s">
        <v>15</v>
      </c>
      <c r="D87" s="1" t="s">
        <v>16</v>
      </c>
      <c r="E87" s="1">
        <v>33333</v>
      </c>
    </row>
    <row r="88" spans="1:5" ht="18.75" customHeight="1">
      <c r="A88" s="3">
        <v>44453</v>
      </c>
      <c r="C88" s="4" t="s">
        <v>15</v>
      </c>
      <c r="D88" s="1" t="s">
        <v>16</v>
      </c>
      <c r="E88" s="1">
        <v>166667</v>
      </c>
    </row>
    <row r="89" spans="1:5" ht="18.75" customHeight="1">
      <c r="A89" s="3">
        <v>44482</v>
      </c>
      <c r="B89" s="1" t="s">
        <v>12</v>
      </c>
      <c r="C89" s="4" t="s">
        <v>15</v>
      </c>
      <c r="D89" s="1" t="s">
        <v>16</v>
      </c>
      <c r="E89" s="1">
        <v>33333</v>
      </c>
    </row>
    <row r="90" spans="1:5" ht="18.75" customHeight="1">
      <c r="A90" s="3">
        <v>44482</v>
      </c>
      <c r="C90" s="4" t="s">
        <v>15</v>
      </c>
      <c r="D90" s="1" t="s">
        <v>16</v>
      </c>
      <c r="E90" s="1">
        <v>166667</v>
      </c>
    </row>
    <row r="91" spans="1:5" ht="18.75" customHeight="1">
      <c r="A91" s="3">
        <v>44515</v>
      </c>
      <c r="B91" s="1" t="s">
        <v>12</v>
      </c>
      <c r="C91" s="4" t="s">
        <v>15</v>
      </c>
      <c r="D91" s="1" t="s">
        <v>16</v>
      </c>
      <c r="E91" s="1">
        <v>33333</v>
      </c>
    </row>
    <row r="92" spans="1:5" ht="18.75" customHeight="1">
      <c r="A92" s="3">
        <v>44515</v>
      </c>
      <c r="C92" s="4" t="s">
        <v>15</v>
      </c>
      <c r="D92" s="1" t="s">
        <v>16</v>
      </c>
      <c r="E92" s="1">
        <v>166667</v>
      </c>
    </row>
    <row r="93" spans="1:5" ht="18.75" customHeight="1">
      <c r="A93" s="3">
        <v>44544</v>
      </c>
      <c r="B93" s="1" t="s">
        <v>12</v>
      </c>
      <c r="C93" s="4" t="s">
        <v>15</v>
      </c>
      <c r="D93" s="1" t="s">
        <v>16</v>
      </c>
      <c r="E93" s="1">
        <v>33333</v>
      </c>
    </row>
    <row r="94" spans="1:5" ht="18.75" customHeight="1">
      <c r="A94" s="3">
        <v>44544</v>
      </c>
      <c r="C94" s="4" t="s">
        <v>15</v>
      </c>
      <c r="D94" s="1" t="s">
        <v>16</v>
      </c>
      <c r="E94" s="1">
        <v>166667</v>
      </c>
    </row>
    <row r="95" spans="1:5" ht="18.75" customHeight="1">
      <c r="A95" s="3">
        <v>44547</v>
      </c>
      <c r="C95" s="4" t="s">
        <v>17</v>
      </c>
      <c r="D95" s="1" t="s">
        <v>18</v>
      </c>
      <c r="E95" s="1">
        <v>5000000</v>
      </c>
    </row>
    <row r="96" spans="1:5" ht="18.75" customHeight="1">
      <c r="A96" s="3">
        <v>44573</v>
      </c>
      <c r="B96" s="1" t="s">
        <v>12</v>
      </c>
      <c r="C96" s="4" t="s">
        <v>15</v>
      </c>
      <c r="D96" s="1" t="s">
        <v>16</v>
      </c>
      <c r="E96" s="1">
        <v>33333</v>
      </c>
    </row>
    <row r="97" spans="1:5" ht="18.75" customHeight="1">
      <c r="A97" s="3">
        <v>44573</v>
      </c>
      <c r="C97" s="4" t="s">
        <v>15</v>
      </c>
      <c r="D97" s="1" t="s">
        <v>16</v>
      </c>
      <c r="E97" s="1">
        <v>166667</v>
      </c>
    </row>
    <row r="98" spans="1:5" ht="18.75" customHeight="1">
      <c r="A98" s="3">
        <v>44607</v>
      </c>
      <c r="B98" s="1" t="s">
        <v>12</v>
      </c>
      <c r="C98" s="4" t="s">
        <v>15</v>
      </c>
      <c r="D98" s="1" t="s">
        <v>16</v>
      </c>
      <c r="E98" s="1">
        <v>33333</v>
      </c>
    </row>
    <row r="99" spans="1:5" ht="18.75" customHeight="1">
      <c r="A99" s="3">
        <v>44607</v>
      </c>
      <c r="C99" s="4" t="s">
        <v>15</v>
      </c>
      <c r="D99" s="1" t="s">
        <v>16</v>
      </c>
      <c r="E99" s="1">
        <v>166667</v>
      </c>
    </row>
    <row r="100" spans="1:5" ht="18.75" customHeight="1">
      <c r="A100" s="3">
        <v>44622</v>
      </c>
      <c r="B100" s="1" t="s">
        <v>12</v>
      </c>
      <c r="C100" s="4" t="s">
        <v>15</v>
      </c>
      <c r="D100" s="1" t="s">
        <v>16</v>
      </c>
      <c r="E100" s="1">
        <v>33333</v>
      </c>
    </row>
    <row r="101" spans="1:5" ht="18.75" customHeight="1">
      <c r="A101" s="3">
        <v>44622</v>
      </c>
      <c r="C101" s="4" t="s">
        <v>15</v>
      </c>
      <c r="D101" s="1" t="s">
        <v>16</v>
      </c>
      <c r="E101" s="1">
        <v>166667</v>
      </c>
    </row>
    <row r="102" spans="1:5" ht="18.75" customHeight="1">
      <c r="A102" s="3">
        <v>44655</v>
      </c>
      <c r="B102" s="1" t="s">
        <v>12</v>
      </c>
      <c r="C102" s="4" t="s">
        <v>15</v>
      </c>
      <c r="D102" s="1" t="s">
        <v>16</v>
      </c>
      <c r="E102" s="1">
        <v>33333</v>
      </c>
    </row>
    <row r="103" spans="1:5" ht="18.75" customHeight="1">
      <c r="A103" s="3">
        <v>44655</v>
      </c>
      <c r="C103" s="4" t="s">
        <v>15</v>
      </c>
      <c r="D103" s="1" t="s">
        <v>16</v>
      </c>
      <c r="E103" s="1">
        <v>166667</v>
      </c>
    </row>
    <row r="104" spans="1:5" ht="18.75" customHeight="1">
      <c r="A104" s="3">
        <v>44690</v>
      </c>
      <c r="B104" s="1" t="s">
        <v>12</v>
      </c>
      <c r="C104" s="4" t="s">
        <v>15</v>
      </c>
      <c r="D104" s="1" t="s">
        <v>16</v>
      </c>
      <c r="E104" s="1">
        <v>33333</v>
      </c>
    </row>
    <row r="105" spans="1:5" ht="18.75" customHeight="1">
      <c r="A105" s="3">
        <v>44690</v>
      </c>
      <c r="C105" s="4" t="s">
        <v>15</v>
      </c>
      <c r="D105" s="1" t="s">
        <v>16</v>
      </c>
      <c r="E105" s="1">
        <v>166667</v>
      </c>
    </row>
    <row r="106" spans="1:5" ht="18.75" customHeight="1">
      <c r="A106" s="3">
        <v>44713</v>
      </c>
      <c r="C106" s="4" t="s">
        <v>15</v>
      </c>
      <c r="D106" s="1" t="s">
        <v>16</v>
      </c>
      <c r="E106" s="1">
        <v>200000</v>
      </c>
    </row>
    <row r="107" spans="1:5" ht="18.75" customHeight="1">
      <c r="A107" s="3">
        <v>44743</v>
      </c>
      <c r="C107" s="4" t="s">
        <v>15</v>
      </c>
      <c r="D107" s="1" t="s">
        <v>16</v>
      </c>
      <c r="E107" s="1">
        <v>200000</v>
      </c>
    </row>
    <row r="108" spans="1:5" ht="18.75" customHeight="1">
      <c r="A108" s="3">
        <v>44774</v>
      </c>
      <c r="C108" s="4" t="s">
        <v>15</v>
      </c>
      <c r="D108" s="1" t="s">
        <v>16</v>
      </c>
      <c r="E108" s="1">
        <v>200000</v>
      </c>
    </row>
    <row r="109" spans="1:5" ht="18.75" customHeight="1">
      <c r="A109" s="3">
        <v>44805</v>
      </c>
      <c r="C109" s="4" t="s">
        <v>15</v>
      </c>
      <c r="D109" s="1" t="s">
        <v>16</v>
      </c>
      <c r="E109" s="1">
        <v>200000</v>
      </c>
    </row>
    <row r="110" spans="1:5" ht="18.75" customHeight="1">
      <c r="A110" s="3">
        <v>44835</v>
      </c>
      <c r="C110" s="4" t="s">
        <v>15</v>
      </c>
      <c r="D110" s="1" t="s">
        <v>16</v>
      </c>
      <c r="E110" s="1">
        <v>200000</v>
      </c>
    </row>
    <row r="111" spans="1:5" ht="18.75" customHeight="1">
      <c r="A111" s="3">
        <v>44866</v>
      </c>
      <c r="C111" s="4" t="s">
        <v>15</v>
      </c>
      <c r="D111" s="1" t="s">
        <v>16</v>
      </c>
      <c r="E111" s="1">
        <v>200000</v>
      </c>
    </row>
    <row r="112" spans="1:5" ht="18.75" customHeight="1">
      <c r="A112" s="3">
        <v>44896</v>
      </c>
      <c r="C112" s="4" t="s">
        <v>15</v>
      </c>
      <c r="D112" s="1" t="s">
        <v>16</v>
      </c>
      <c r="E112" s="1">
        <v>200000</v>
      </c>
    </row>
    <row r="113" spans="1:5" ht="18.75" customHeight="1">
      <c r="A113" s="3">
        <v>44927</v>
      </c>
      <c r="C113" s="4" t="s">
        <v>15</v>
      </c>
      <c r="D113" s="1" t="s">
        <v>16</v>
      </c>
      <c r="E113" s="1">
        <v>200000</v>
      </c>
    </row>
    <row r="114" spans="1:5" ht="18.75" customHeight="1">
      <c r="A114" s="3">
        <v>44958</v>
      </c>
      <c r="C114" s="4" t="s">
        <v>15</v>
      </c>
      <c r="D114" s="1" t="s">
        <v>16</v>
      </c>
      <c r="E114" s="1">
        <v>200000</v>
      </c>
    </row>
    <row r="115" spans="1:5" ht="18.75" customHeight="1">
      <c r="A115" s="3">
        <v>44986</v>
      </c>
      <c r="C115" s="4" t="s">
        <v>15</v>
      </c>
      <c r="D115" s="1" t="s">
        <v>16</v>
      </c>
      <c r="E115" s="1">
        <v>200000</v>
      </c>
    </row>
    <row r="116" spans="1:5" ht="18.75" customHeight="1">
      <c r="A116" s="3">
        <v>45017</v>
      </c>
      <c r="C116" s="4" t="s">
        <v>15</v>
      </c>
      <c r="D116" s="1" t="s">
        <v>16</v>
      </c>
      <c r="E116" s="1">
        <v>200000</v>
      </c>
    </row>
    <row r="117" spans="1:5" ht="18.75" customHeight="1">
      <c r="A117" s="3">
        <v>45047</v>
      </c>
      <c r="C117" s="4" t="s">
        <v>15</v>
      </c>
      <c r="D117" s="1" t="s">
        <v>16</v>
      </c>
      <c r="E117" s="1">
        <v>200000</v>
      </c>
    </row>
    <row r="118" spans="1:5" ht="18.75" customHeight="1">
      <c r="A118" s="3">
        <v>45078</v>
      </c>
      <c r="C118" s="4" t="s">
        <v>15</v>
      </c>
      <c r="D118" s="1" t="s">
        <v>16</v>
      </c>
      <c r="E118" s="1">
        <v>200000</v>
      </c>
    </row>
    <row r="119" spans="1:5" ht="18.75" customHeight="1">
      <c r="A119" s="3">
        <v>45108</v>
      </c>
      <c r="C119" s="4" t="s">
        <v>15</v>
      </c>
      <c r="D119" s="1" t="s">
        <v>16</v>
      </c>
      <c r="E119" s="1">
        <v>200000</v>
      </c>
    </row>
    <row r="120" spans="1:5" ht="18.75" customHeight="1">
      <c r="A120" s="3">
        <v>45139</v>
      </c>
      <c r="C120" s="4" t="s">
        <v>15</v>
      </c>
      <c r="D120" s="1" t="s">
        <v>16</v>
      </c>
      <c r="E120" s="1">
        <v>200000</v>
      </c>
    </row>
    <row r="121" spans="1:5" ht="18.75" customHeight="1">
      <c r="A121" s="3">
        <v>45170</v>
      </c>
      <c r="C121" s="4" t="s">
        <v>15</v>
      </c>
      <c r="D121" s="1" t="s">
        <v>16</v>
      </c>
      <c r="E121" s="1">
        <v>200000</v>
      </c>
    </row>
    <row r="122" spans="1:5" ht="18.75" customHeight="1">
      <c r="A122" s="3">
        <v>45200</v>
      </c>
      <c r="C122" s="4" t="s">
        <v>15</v>
      </c>
      <c r="D122" s="1" t="s">
        <v>16</v>
      </c>
      <c r="E122" s="1">
        <v>200000</v>
      </c>
    </row>
    <row r="123" spans="1:5" ht="18.75" customHeight="1">
      <c r="A123" s="3">
        <v>45231</v>
      </c>
      <c r="C123" s="4" t="s">
        <v>15</v>
      </c>
      <c r="D123" s="1" t="s">
        <v>16</v>
      </c>
      <c r="E123" s="1">
        <v>200000</v>
      </c>
    </row>
    <row r="124" spans="1:5" ht="18.75" customHeight="1">
      <c r="A124" s="3">
        <v>45261</v>
      </c>
      <c r="C124" s="4" t="s">
        <v>15</v>
      </c>
      <c r="D124" s="1" t="s">
        <v>16</v>
      </c>
      <c r="E124" s="1">
        <v>200000</v>
      </c>
    </row>
    <row r="125" spans="1:5" ht="18.75" customHeight="1">
      <c r="A125" s="3">
        <v>45292</v>
      </c>
      <c r="C125" s="4" t="s">
        <v>15</v>
      </c>
      <c r="D125" s="1" t="s">
        <v>16</v>
      </c>
      <c r="E125" s="1">
        <v>200000</v>
      </c>
    </row>
    <row r="126" spans="1:5" ht="18.75" customHeight="1">
      <c r="A126" s="3">
        <v>45323</v>
      </c>
      <c r="C126" s="4" t="s">
        <v>15</v>
      </c>
      <c r="D126" s="1" t="s">
        <v>16</v>
      </c>
      <c r="E126" s="1">
        <v>200000</v>
      </c>
    </row>
    <row r="127" spans="1:5" ht="18.75" customHeight="1">
      <c r="A127" s="3">
        <v>45352</v>
      </c>
      <c r="C127" s="4" t="s">
        <v>15</v>
      </c>
      <c r="D127" s="1" t="s">
        <v>16</v>
      </c>
      <c r="E127" s="1">
        <v>200000</v>
      </c>
    </row>
    <row r="128" spans="1:5" ht="18.75" customHeight="1">
      <c r="A128" s="3">
        <v>45383</v>
      </c>
      <c r="C128" s="4" t="s">
        <v>15</v>
      </c>
      <c r="D128" s="1" t="s">
        <v>16</v>
      </c>
      <c r="E128" s="1">
        <v>200000</v>
      </c>
    </row>
    <row r="129" spans="1:5" ht="18.75" customHeight="1">
      <c r="A129" s="3">
        <v>45413</v>
      </c>
      <c r="C129" s="4" t="s">
        <v>15</v>
      </c>
      <c r="D129" s="1" t="s">
        <v>16</v>
      </c>
      <c r="E129" s="1">
        <v>200000</v>
      </c>
    </row>
    <row r="130" spans="1:5" ht="18.75" customHeight="1">
      <c r="A130" s="3">
        <v>45444</v>
      </c>
      <c r="C130" s="4" t="s">
        <v>15</v>
      </c>
      <c r="D130" s="1" t="s">
        <v>16</v>
      </c>
      <c r="E130" s="1">
        <v>200000</v>
      </c>
    </row>
    <row r="131" spans="1:5" ht="18.75" customHeight="1">
      <c r="A131" s="3">
        <v>45474</v>
      </c>
      <c r="C131" s="4" t="s">
        <v>15</v>
      </c>
      <c r="D131" s="1" t="s">
        <v>16</v>
      </c>
      <c r="E131" s="1">
        <v>200000</v>
      </c>
    </row>
    <row r="132" spans="1:5" ht="18.75" customHeight="1">
      <c r="A132" s="3">
        <v>45505</v>
      </c>
      <c r="C132" s="4" t="s">
        <v>15</v>
      </c>
      <c r="D132" s="1" t="s">
        <v>16</v>
      </c>
      <c r="E132" s="1">
        <v>200000</v>
      </c>
    </row>
    <row r="133" spans="1:5" ht="18.75" customHeight="1">
      <c r="A133" s="3">
        <v>45536</v>
      </c>
      <c r="C133" s="4" t="s">
        <v>15</v>
      </c>
      <c r="D133" s="1" t="s">
        <v>16</v>
      </c>
      <c r="E133" s="1">
        <v>200000</v>
      </c>
    </row>
    <row r="134" spans="1:5" ht="18.75" customHeight="1">
      <c r="A134" s="3">
        <v>45566</v>
      </c>
      <c r="C134" s="4" t="s">
        <v>15</v>
      </c>
      <c r="D134" s="1" t="s">
        <v>16</v>
      </c>
      <c r="E134" s="1">
        <v>200000</v>
      </c>
    </row>
    <row r="135" spans="1:5" ht="18.75" customHeight="1">
      <c r="A135" s="3">
        <v>45597</v>
      </c>
      <c r="C135" s="4" t="s">
        <v>15</v>
      </c>
      <c r="D135" s="1" t="s">
        <v>16</v>
      </c>
      <c r="E135" s="1">
        <v>200000</v>
      </c>
    </row>
    <row r="136" spans="1:5" ht="18.75" customHeight="1">
      <c r="A136" s="3">
        <v>45627</v>
      </c>
      <c r="C136" s="4" t="s">
        <v>15</v>
      </c>
      <c r="D136" s="1" t="s">
        <v>16</v>
      </c>
      <c r="E136" s="1">
        <v>200000</v>
      </c>
    </row>
    <row r="137" spans="1:5" ht="18.75" customHeight="1">
      <c r="A137" s="3">
        <v>45658</v>
      </c>
      <c r="C137" s="4" t="s">
        <v>15</v>
      </c>
      <c r="D137" s="1" t="s">
        <v>16</v>
      </c>
      <c r="E137" s="1">
        <v>200000</v>
      </c>
    </row>
    <row r="138" spans="1:5" ht="18.75" customHeight="1">
      <c r="A138" s="3">
        <v>45689</v>
      </c>
      <c r="C138" s="4" t="s">
        <v>15</v>
      </c>
      <c r="D138" s="1" t="s">
        <v>16</v>
      </c>
      <c r="E138" s="1">
        <v>200000</v>
      </c>
    </row>
    <row r="139" spans="1:5" ht="18.75" customHeight="1">
      <c r="A139" s="3">
        <v>45717</v>
      </c>
      <c r="C139" s="4" t="s">
        <v>15</v>
      </c>
      <c r="D139" s="1" t="s">
        <v>16</v>
      </c>
      <c r="E139" s="1">
        <v>200000</v>
      </c>
    </row>
    <row r="140" spans="1:5" ht="18.75" customHeight="1">
      <c r="A140" s="3">
        <v>45748</v>
      </c>
      <c r="C140" s="4" t="s">
        <v>15</v>
      </c>
      <c r="D140" s="1" t="s">
        <v>16</v>
      </c>
      <c r="E140" s="1">
        <v>200000</v>
      </c>
    </row>
    <row r="141" spans="1:5" ht="18.75" customHeight="1">
      <c r="A141" s="3">
        <v>45778</v>
      </c>
      <c r="C141" s="4" t="s">
        <v>15</v>
      </c>
      <c r="D141" s="1" t="s">
        <v>16</v>
      </c>
      <c r="E141" s="1">
        <v>200000</v>
      </c>
    </row>
    <row r="142" spans="1:5" ht="18.75" customHeight="1">
      <c r="A142" s="3">
        <v>45809</v>
      </c>
      <c r="C142" s="4" t="s">
        <v>15</v>
      </c>
      <c r="D142" s="1" t="s">
        <v>16</v>
      </c>
      <c r="E142" s="1">
        <v>200000</v>
      </c>
    </row>
    <row r="143" spans="1:5" ht="18.75" customHeight="1">
      <c r="A143" s="3">
        <v>45839</v>
      </c>
      <c r="C143" s="4" t="s">
        <v>15</v>
      </c>
      <c r="D143" s="1" t="s">
        <v>16</v>
      </c>
      <c r="E143" s="1">
        <v>200000</v>
      </c>
    </row>
    <row r="144" spans="1:5" ht="18.75" customHeight="1">
      <c r="A144" s="3">
        <v>45870</v>
      </c>
      <c r="C144" s="4" t="s">
        <v>15</v>
      </c>
      <c r="D144" s="1" t="s">
        <v>16</v>
      </c>
      <c r="E144" s="1">
        <v>200000</v>
      </c>
    </row>
    <row r="145" spans="1:5" ht="18.75" customHeight="1">
      <c r="A145" s="3">
        <v>45901</v>
      </c>
      <c r="C145" s="4" t="s">
        <v>15</v>
      </c>
      <c r="D145" s="1" t="s">
        <v>16</v>
      </c>
      <c r="E145" s="1">
        <v>200000</v>
      </c>
    </row>
    <row r="146" spans="1:5" ht="18.75" customHeight="1">
      <c r="A146" s="3">
        <v>45931</v>
      </c>
      <c r="C146" s="4" t="s">
        <v>15</v>
      </c>
      <c r="D146" s="1" t="s">
        <v>16</v>
      </c>
      <c r="E146" s="1">
        <v>200000</v>
      </c>
    </row>
    <row r="147" spans="1:5" ht="18.75" customHeight="1">
      <c r="A147" s="3">
        <v>45962</v>
      </c>
      <c r="C147" s="4" t="s">
        <v>15</v>
      </c>
      <c r="D147" s="1" t="s">
        <v>16</v>
      </c>
      <c r="E147" s="1">
        <v>200000</v>
      </c>
    </row>
    <row r="148" spans="1:5" ht="18.75" customHeight="1">
      <c r="A148" s="3">
        <v>45992</v>
      </c>
      <c r="C148" s="4" t="s">
        <v>15</v>
      </c>
      <c r="D148" s="1" t="s">
        <v>16</v>
      </c>
      <c r="E148" s="1">
        <v>200000</v>
      </c>
    </row>
    <row r="149" spans="1:5" ht="18.75" customHeight="1">
      <c r="A149" s="3">
        <v>46023</v>
      </c>
      <c r="C149" s="4" t="s">
        <v>15</v>
      </c>
      <c r="D149" s="1" t="s">
        <v>16</v>
      </c>
      <c r="E149" s="1">
        <v>200000</v>
      </c>
    </row>
    <row r="150" spans="1:5" ht="18.75" customHeight="1">
      <c r="A150" s="3">
        <v>46054</v>
      </c>
      <c r="C150" s="4" t="s">
        <v>15</v>
      </c>
      <c r="D150" s="1" t="s">
        <v>16</v>
      </c>
      <c r="E150" s="1">
        <v>200000</v>
      </c>
    </row>
    <row r="151" spans="1:5" ht="18.75" customHeight="1">
      <c r="A151" s="3">
        <v>46082</v>
      </c>
      <c r="C151" s="4" t="s">
        <v>15</v>
      </c>
      <c r="D151" s="1" t="s">
        <v>16</v>
      </c>
      <c r="E151" s="1">
        <v>200000</v>
      </c>
    </row>
    <row r="152" spans="1:5" ht="18.75" customHeight="1">
      <c r="A152" s="3">
        <v>46113</v>
      </c>
      <c r="C152" s="4" t="s">
        <v>15</v>
      </c>
      <c r="D152" s="1" t="s">
        <v>16</v>
      </c>
      <c r="E152" s="1">
        <v>200000</v>
      </c>
    </row>
    <row r="153" spans="1:5" ht="18.75" customHeight="1">
      <c r="A153" s="3">
        <v>46143</v>
      </c>
      <c r="C153" s="4" t="s">
        <v>15</v>
      </c>
      <c r="D153" s="1" t="s">
        <v>16</v>
      </c>
      <c r="E153" s="1">
        <v>200000</v>
      </c>
    </row>
    <row r="154" spans="1:5" ht="18.75" customHeight="1">
      <c r="A154" s="3">
        <v>46174</v>
      </c>
      <c r="C154" s="4" t="s">
        <v>15</v>
      </c>
      <c r="D154" s="1" t="s">
        <v>16</v>
      </c>
      <c r="E154" s="1">
        <v>200000</v>
      </c>
    </row>
    <row r="155" spans="1:5" ht="18.75" customHeight="1">
      <c r="A155" s="3">
        <v>46204</v>
      </c>
      <c r="C155" s="4" t="s">
        <v>15</v>
      </c>
      <c r="D155" s="1" t="s">
        <v>16</v>
      </c>
      <c r="E155" s="1">
        <v>200000</v>
      </c>
    </row>
    <row r="156" spans="1:5" ht="18.75" customHeight="1">
      <c r="A156" s="3">
        <v>46235</v>
      </c>
      <c r="C156" s="4" t="s">
        <v>15</v>
      </c>
      <c r="D156" s="1" t="s">
        <v>16</v>
      </c>
      <c r="E156" s="1">
        <v>200000</v>
      </c>
    </row>
    <row r="157" spans="1:5" ht="18.75" customHeight="1">
      <c r="A157" s="3">
        <v>46266</v>
      </c>
      <c r="C157" s="4" t="s">
        <v>15</v>
      </c>
      <c r="D157" s="1" t="s">
        <v>16</v>
      </c>
      <c r="E157" s="1">
        <v>200000</v>
      </c>
    </row>
    <row r="158" spans="1:5" ht="18.75" customHeight="1">
      <c r="A158" s="3">
        <v>46296</v>
      </c>
      <c r="C158" s="4" t="s">
        <v>15</v>
      </c>
      <c r="D158" s="1" t="s">
        <v>16</v>
      </c>
      <c r="E158" s="1">
        <v>200000</v>
      </c>
    </row>
    <row r="159" spans="1:5" ht="18.75" customHeight="1">
      <c r="A159" s="3">
        <v>46327</v>
      </c>
      <c r="C159" s="4" t="s">
        <v>15</v>
      </c>
      <c r="D159" s="1" t="s">
        <v>16</v>
      </c>
      <c r="E159" s="1">
        <v>200000</v>
      </c>
    </row>
    <row r="160" spans="1:5" ht="18.75" customHeight="1">
      <c r="A160" s="3">
        <v>46357</v>
      </c>
      <c r="C160" s="4" t="s">
        <v>15</v>
      </c>
      <c r="D160" s="1" t="s">
        <v>16</v>
      </c>
      <c r="E160" s="1">
        <v>200000</v>
      </c>
    </row>
    <row r="161" spans="1:5" ht="18.75" customHeight="1">
      <c r="A161" s="3">
        <v>46388</v>
      </c>
      <c r="C161" s="4" t="s">
        <v>15</v>
      </c>
      <c r="D161" s="1" t="s">
        <v>16</v>
      </c>
      <c r="E161" s="1">
        <v>200000</v>
      </c>
    </row>
    <row r="162" spans="1:5" ht="18.75" customHeight="1">
      <c r="A162" s="3">
        <v>46419</v>
      </c>
      <c r="C162" s="4" t="s">
        <v>15</v>
      </c>
      <c r="D162" s="1" t="s">
        <v>16</v>
      </c>
      <c r="E162" s="1">
        <v>200000</v>
      </c>
    </row>
    <row r="163" spans="1:5" ht="18.75" customHeight="1">
      <c r="A163" s="3">
        <v>46447</v>
      </c>
      <c r="C163" s="4" t="s">
        <v>15</v>
      </c>
      <c r="D163" s="1" t="s">
        <v>16</v>
      </c>
      <c r="E163" s="1">
        <v>200000</v>
      </c>
    </row>
    <row r="164" spans="1:5" ht="18.75" customHeight="1">
      <c r="A164" s="3">
        <v>46478</v>
      </c>
      <c r="C164" s="4" t="s">
        <v>15</v>
      </c>
      <c r="D164" s="1" t="s">
        <v>16</v>
      </c>
      <c r="E164" s="1">
        <v>200000</v>
      </c>
    </row>
    <row r="165" spans="1:5" ht="18.75" customHeight="1">
      <c r="A165" s="3">
        <v>46508</v>
      </c>
      <c r="C165" s="4" t="s">
        <v>15</v>
      </c>
      <c r="D165" s="1" t="s">
        <v>16</v>
      </c>
      <c r="E165" s="1">
        <v>200000</v>
      </c>
    </row>
    <row r="166" spans="1:5" ht="18.75" customHeight="1">
      <c r="A166" s="3">
        <v>46539</v>
      </c>
      <c r="C166" s="4" t="s">
        <v>15</v>
      </c>
      <c r="D166" s="1" t="s">
        <v>16</v>
      </c>
      <c r="E166" s="1">
        <v>200000</v>
      </c>
    </row>
    <row r="167" spans="1:5" ht="18.75" customHeight="1">
      <c r="A167" s="3">
        <v>46569</v>
      </c>
      <c r="C167" s="4" t="s">
        <v>15</v>
      </c>
      <c r="D167" s="1" t="s">
        <v>16</v>
      </c>
      <c r="E167" s="1">
        <v>200000</v>
      </c>
    </row>
    <row r="168" spans="1:5" ht="18.75" customHeight="1">
      <c r="A168" s="3">
        <v>46600</v>
      </c>
      <c r="C168" s="4" t="s">
        <v>15</v>
      </c>
      <c r="D168" s="1" t="s">
        <v>16</v>
      </c>
      <c r="E168" s="1">
        <v>200000</v>
      </c>
    </row>
    <row r="169" spans="1:5" ht="18.75" customHeight="1">
      <c r="A169" s="3">
        <v>46631</v>
      </c>
      <c r="C169" s="4" t="s">
        <v>15</v>
      </c>
      <c r="D169" s="1" t="s">
        <v>16</v>
      </c>
      <c r="E169" s="1">
        <v>200000</v>
      </c>
    </row>
    <row r="170" spans="1:5" ht="18.75" customHeight="1">
      <c r="A170" s="3">
        <v>46661</v>
      </c>
      <c r="C170" s="4" t="s">
        <v>15</v>
      </c>
      <c r="D170" s="1" t="s">
        <v>16</v>
      </c>
      <c r="E170" s="1">
        <v>200000</v>
      </c>
    </row>
    <row r="171" spans="1:5" ht="18.75" customHeight="1">
      <c r="A171" s="3">
        <v>46692</v>
      </c>
      <c r="C171" s="4" t="s">
        <v>15</v>
      </c>
      <c r="D171" s="1" t="s">
        <v>16</v>
      </c>
      <c r="E171" s="1">
        <v>200000</v>
      </c>
    </row>
    <row r="172" spans="1:5" ht="18.75" customHeight="1">
      <c r="A172" s="3">
        <v>46722</v>
      </c>
      <c r="C172" s="4" t="s">
        <v>15</v>
      </c>
      <c r="D172" s="1" t="s">
        <v>16</v>
      </c>
      <c r="E172" s="1">
        <v>200000</v>
      </c>
    </row>
    <row r="173" spans="1:5" ht="18.75" customHeight="1">
      <c r="A173" s="3">
        <v>46753</v>
      </c>
      <c r="C173" s="4" t="s">
        <v>15</v>
      </c>
      <c r="D173" s="1" t="s">
        <v>16</v>
      </c>
      <c r="E173" s="1">
        <v>200000</v>
      </c>
    </row>
    <row r="174" spans="1:5" ht="18.75" customHeight="1">
      <c r="A174" s="3">
        <v>46784</v>
      </c>
      <c r="C174" s="4" t="s">
        <v>15</v>
      </c>
      <c r="D174" s="1" t="s">
        <v>16</v>
      </c>
      <c r="E174" s="1">
        <v>200000</v>
      </c>
    </row>
    <row r="175" spans="1:5" ht="18.75" customHeight="1">
      <c r="A175" s="3">
        <v>46813</v>
      </c>
      <c r="C175" s="4" t="s">
        <v>15</v>
      </c>
      <c r="D175" s="1" t="s">
        <v>16</v>
      </c>
      <c r="E175" s="1">
        <v>200000</v>
      </c>
    </row>
    <row r="176" spans="1:5" ht="18.75" customHeight="1">
      <c r="A176" s="3">
        <v>46844</v>
      </c>
      <c r="C176" s="4" t="s">
        <v>15</v>
      </c>
      <c r="D176" s="1" t="s">
        <v>16</v>
      </c>
      <c r="E176" s="1">
        <v>200000</v>
      </c>
    </row>
    <row r="177" spans="1:5" ht="18.75" customHeight="1">
      <c r="A177" s="3">
        <v>46874</v>
      </c>
      <c r="C177" s="4" t="s">
        <v>15</v>
      </c>
      <c r="D177" s="1" t="s">
        <v>16</v>
      </c>
      <c r="E177" s="1">
        <v>200000</v>
      </c>
    </row>
    <row r="178" spans="1:5" ht="18.75" customHeight="1">
      <c r="A178" s="3">
        <v>46905</v>
      </c>
      <c r="C178" s="4" t="s">
        <v>15</v>
      </c>
      <c r="D178" s="1" t="s">
        <v>16</v>
      </c>
      <c r="E178" s="1">
        <v>200000</v>
      </c>
    </row>
    <row r="179" spans="1:5" ht="18.75" customHeight="1">
      <c r="A179" s="3">
        <v>46935</v>
      </c>
      <c r="C179" s="4" t="s">
        <v>15</v>
      </c>
      <c r="D179" s="1" t="s">
        <v>16</v>
      </c>
      <c r="E179" s="1">
        <v>200000</v>
      </c>
    </row>
    <row r="180" spans="1:5" ht="18.75" customHeight="1">
      <c r="A180" s="3">
        <v>46966</v>
      </c>
      <c r="C180" s="4" t="s">
        <v>15</v>
      </c>
      <c r="D180" s="1" t="s">
        <v>16</v>
      </c>
      <c r="E180" s="1">
        <v>200000</v>
      </c>
    </row>
    <row r="181" spans="1:5" ht="18.75" customHeight="1">
      <c r="A181" s="3">
        <v>46997</v>
      </c>
      <c r="C181" s="4" t="s">
        <v>15</v>
      </c>
      <c r="D181" s="1" t="s">
        <v>16</v>
      </c>
      <c r="E181" s="1">
        <v>200000</v>
      </c>
    </row>
    <row r="182" spans="1:5" ht="18.75" customHeight="1">
      <c r="A182" s="3">
        <v>47027</v>
      </c>
      <c r="C182" s="4" t="s">
        <v>15</v>
      </c>
      <c r="D182" s="1" t="s">
        <v>16</v>
      </c>
      <c r="E182" s="1">
        <v>200000</v>
      </c>
    </row>
    <row r="183" spans="1:5" ht="18.75" customHeight="1">
      <c r="A183" s="3">
        <v>47058</v>
      </c>
      <c r="C183" s="4" t="s">
        <v>15</v>
      </c>
      <c r="D183" s="1" t="s">
        <v>16</v>
      </c>
      <c r="E183" s="1">
        <v>200000</v>
      </c>
    </row>
    <row r="184" spans="1:5" ht="18.75" customHeight="1">
      <c r="A184" s="3">
        <v>47088</v>
      </c>
      <c r="C184" s="4" t="s">
        <v>15</v>
      </c>
      <c r="D184" s="1" t="s">
        <v>16</v>
      </c>
      <c r="E184" s="1">
        <v>200000</v>
      </c>
    </row>
    <row r="185" spans="1:5" ht="18.75" customHeight="1">
      <c r="A185" s="3">
        <v>47119</v>
      </c>
      <c r="C185" s="4" t="s">
        <v>15</v>
      </c>
      <c r="D185" s="1" t="s">
        <v>16</v>
      </c>
      <c r="E185" s="1">
        <v>200000</v>
      </c>
    </row>
    <row r="186" spans="1:5" ht="18.75" customHeight="1">
      <c r="A186" s="3">
        <v>47150</v>
      </c>
      <c r="C186" s="4" t="s">
        <v>15</v>
      </c>
      <c r="D186" s="1" t="s">
        <v>16</v>
      </c>
      <c r="E186" s="1">
        <v>200000</v>
      </c>
    </row>
    <row r="187" spans="1:5" ht="18.75" customHeight="1">
      <c r="A187" s="3">
        <v>47178</v>
      </c>
      <c r="C187" s="4" t="s">
        <v>15</v>
      </c>
      <c r="D187" s="1" t="s">
        <v>16</v>
      </c>
      <c r="E187" s="1">
        <v>200000</v>
      </c>
    </row>
    <row r="188" spans="1:5" ht="18.75" customHeight="1">
      <c r="A188" s="3">
        <v>47209</v>
      </c>
      <c r="C188" s="4" t="s">
        <v>15</v>
      </c>
      <c r="D188" s="1" t="s">
        <v>16</v>
      </c>
      <c r="E188" s="1">
        <v>200000</v>
      </c>
    </row>
    <row r="189" spans="1:5" ht="18.75" customHeight="1">
      <c r="A189" s="3">
        <v>47239</v>
      </c>
      <c r="C189" s="4" t="s">
        <v>15</v>
      </c>
      <c r="D189" s="1" t="s">
        <v>16</v>
      </c>
      <c r="E189" s="1">
        <v>200000</v>
      </c>
    </row>
    <row r="190" spans="1:5" ht="18.75" customHeight="1">
      <c r="A190" s="3">
        <v>47270</v>
      </c>
      <c r="C190" s="4" t="s">
        <v>15</v>
      </c>
      <c r="D190" s="1" t="s">
        <v>16</v>
      </c>
      <c r="E190" s="1">
        <v>200000</v>
      </c>
    </row>
    <row r="191" spans="1:5" ht="18.75" customHeight="1">
      <c r="A191" s="3">
        <v>47300</v>
      </c>
      <c r="C191" s="4" t="s">
        <v>15</v>
      </c>
      <c r="D191" s="1" t="s">
        <v>16</v>
      </c>
      <c r="E191" s="1">
        <v>200000</v>
      </c>
    </row>
    <row r="192" spans="1:5" ht="18.75" customHeight="1">
      <c r="A192" s="3">
        <v>47331</v>
      </c>
      <c r="C192" s="4" t="s">
        <v>15</v>
      </c>
      <c r="D192" s="1" t="s">
        <v>16</v>
      </c>
      <c r="E192" s="1">
        <v>200000</v>
      </c>
    </row>
    <row r="193" spans="1:5" ht="18.75" customHeight="1">
      <c r="A193" s="3">
        <v>47362</v>
      </c>
      <c r="C193" s="4" t="s">
        <v>15</v>
      </c>
      <c r="D193" s="1" t="s">
        <v>16</v>
      </c>
      <c r="E193" s="1">
        <v>200000</v>
      </c>
    </row>
    <row r="194" spans="1:5" ht="18.75" customHeight="1">
      <c r="A194" s="3">
        <v>47392</v>
      </c>
      <c r="C194" s="4" t="s">
        <v>15</v>
      </c>
      <c r="D194" s="1" t="s">
        <v>16</v>
      </c>
      <c r="E194" s="1">
        <v>200000</v>
      </c>
    </row>
    <row r="195" spans="1:5" ht="18.75" customHeight="1">
      <c r="A195" s="3">
        <v>47423</v>
      </c>
      <c r="C195" s="4" t="s">
        <v>15</v>
      </c>
      <c r="D195" s="1" t="s">
        <v>16</v>
      </c>
      <c r="E195" s="1">
        <v>200000</v>
      </c>
    </row>
    <row r="196" spans="1:5" ht="18.75" customHeight="1">
      <c r="A196" s="3">
        <v>47453</v>
      </c>
      <c r="C196" s="4" t="s">
        <v>15</v>
      </c>
      <c r="D196" s="1" t="s">
        <v>16</v>
      </c>
      <c r="E196" s="1">
        <v>200000</v>
      </c>
    </row>
    <row r="197" spans="1:5" ht="18.75" customHeight="1">
      <c r="A197" s="3">
        <v>47484</v>
      </c>
      <c r="C197" s="4" t="s">
        <v>15</v>
      </c>
      <c r="D197" s="1" t="s">
        <v>16</v>
      </c>
      <c r="E197" s="1">
        <v>200000</v>
      </c>
    </row>
    <row r="198" spans="1:5" ht="18.75" customHeight="1">
      <c r="A198" s="3">
        <v>47515</v>
      </c>
      <c r="C198" s="4" t="s">
        <v>15</v>
      </c>
      <c r="D198" s="1" t="s">
        <v>16</v>
      </c>
      <c r="E198" s="1">
        <v>200000</v>
      </c>
    </row>
    <row r="199" spans="1:5" ht="18.75" customHeight="1">
      <c r="A199" s="3">
        <v>47543</v>
      </c>
      <c r="C199" s="4" t="s">
        <v>15</v>
      </c>
      <c r="D199" s="1" t="s">
        <v>16</v>
      </c>
      <c r="E199" s="1">
        <v>200000</v>
      </c>
    </row>
    <row r="200" spans="1:5" ht="18.75" customHeight="1">
      <c r="A200" s="3">
        <v>47574</v>
      </c>
      <c r="C200" s="4" t="s">
        <v>15</v>
      </c>
      <c r="D200" s="1" t="s">
        <v>16</v>
      </c>
      <c r="E200" s="1">
        <v>200000</v>
      </c>
    </row>
    <row r="201" spans="1:5" ht="18.75" customHeight="1">
      <c r="A201" s="3">
        <v>47604</v>
      </c>
      <c r="C201" s="4" t="s">
        <v>15</v>
      </c>
      <c r="D201" s="1" t="s">
        <v>16</v>
      </c>
      <c r="E201" s="1">
        <v>200000</v>
      </c>
    </row>
    <row r="202" spans="1:5" ht="18.75" customHeight="1">
      <c r="A202" s="3">
        <v>47635</v>
      </c>
      <c r="C202" s="4" t="s">
        <v>15</v>
      </c>
      <c r="D202" s="1" t="s">
        <v>16</v>
      </c>
      <c r="E202" s="1">
        <v>200000</v>
      </c>
    </row>
    <row r="203" spans="1:5" ht="18.75" customHeight="1">
      <c r="A203" s="3">
        <v>47665</v>
      </c>
      <c r="C203" s="4" t="s">
        <v>15</v>
      </c>
      <c r="D203" s="1" t="s">
        <v>16</v>
      </c>
      <c r="E203" s="1">
        <v>200000</v>
      </c>
    </row>
    <row r="204" spans="1:5" ht="18.75" customHeight="1">
      <c r="A204" s="3">
        <v>47696</v>
      </c>
      <c r="C204" s="4" t="s">
        <v>15</v>
      </c>
      <c r="D204" s="1" t="s">
        <v>16</v>
      </c>
      <c r="E204" s="1">
        <v>200000</v>
      </c>
    </row>
    <row r="205" spans="1:5" ht="18.75" customHeight="1">
      <c r="A205" s="3">
        <v>47727</v>
      </c>
      <c r="C205" s="4" t="s">
        <v>15</v>
      </c>
      <c r="D205" s="1" t="s">
        <v>16</v>
      </c>
      <c r="E205" s="1">
        <v>200000</v>
      </c>
    </row>
    <row r="206" spans="1:5" ht="18.75" customHeight="1">
      <c r="A206" s="3">
        <v>47757</v>
      </c>
      <c r="C206" s="4" t="s">
        <v>15</v>
      </c>
      <c r="D206" s="1" t="s">
        <v>16</v>
      </c>
      <c r="E206" s="1">
        <v>200000</v>
      </c>
    </row>
    <row r="207" spans="1:5" ht="18.75" customHeight="1">
      <c r="A207" s="3">
        <v>47788</v>
      </c>
      <c r="C207" s="4" t="s">
        <v>15</v>
      </c>
      <c r="D207" s="1" t="s">
        <v>16</v>
      </c>
      <c r="E207" s="1">
        <v>200000</v>
      </c>
    </row>
    <row r="208" spans="1:5" ht="18.75" customHeight="1">
      <c r="A208" s="3">
        <v>47818</v>
      </c>
      <c r="C208" s="4" t="s">
        <v>15</v>
      </c>
      <c r="D208" s="1" t="s">
        <v>16</v>
      </c>
      <c r="E208" s="1">
        <v>200000</v>
      </c>
    </row>
    <row r="209" spans="1:5" ht="18.75" customHeight="1">
      <c r="A209" s="3">
        <v>47849</v>
      </c>
      <c r="C209" s="4" t="s">
        <v>15</v>
      </c>
      <c r="D209" s="1" t="s">
        <v>16</v>
      </c>
      <c r="E209" s="1">
        <v>200000</v>
      </c>
    </row>
    <row r="210" spans="1:5" ht="18.75" customHeight="1">
      <c r="A210" s="3">
        <v>47880</v>
      </c>
      <c r="C210" s="4" t="s">
        <v>15</v>
      </c>
      <c r="D210" s="1" t="s">
        <v>16</v>
      </c>
      <c r="E210" s="1">
        <v>200000</v>
      </c>
    </row>
    <row r="211" spans="1:5" ht="18.75" customHeight="1">
      <c r="A211" s="3">
        <v>47908</v>
      </c>
      <c r="C211" s="4" t="s">
        <v>15</v>
      </c>
      <c r="D211" s="1" t="s">
        <v>16</v>
      </c>
      <c r="E211" s="1">
        <v>200000</v>
      </c>
    </row>
    <row r="212" spans="1:5" ht="18.75" customHeight="1">
      <c r="A212" s="3">
        <v>47939</v>
      </c>
      <c r="C212" s="4" t="s">
        <v>15</v>
      </c>
      <c r="D212" s="1" t="s">
        <v>16</v>
      </c>
      <c r="E212" s="1">
        <v>200000</v>
      </c>
    </row>
    <row r="213" spans="1:5" ht="18.75" customHeight="1">
      <c r="A213" s="3">
        <v>47969</v>
      </c>
      <c r="C213" s="4" t="s">
        <v>15</v>
      </c>
      <c r="D213" s="1" t="s">
        <v>16</v>
      </c>
      <c r="E213" s="1">
        <v>200000</v>
      </c>
    </row>
    <row r="214" spans="1:5" ht="18.75" customHeight="1">
      <c r="A214" s="3">
        <v>48000</v>
      </c>
      <c r="C214" s="4" t="s">
        <v>15</v>
      </c>
      <c r="D214" s="1" t="s">
        <v>16</v>
      </c>
      <c r="E214" s="1">
        <v>200000</v>
      </c>
    </row>
    <row r="215" spans="1:5" ht="18.75" customHeight="1">
      <c r="A215" s="3">
        <v>48030</v>
      </c>
      <c r="C215" s="4" t="s">
        <v>15</v>
      </c>
      <c r="D215" s="1" t="s">
        <v>16</v>
      </c>
      <c r="E215" s="1">
        <v>200000</v>
      </c>
    </row>
    <row r="216" spans="1:5" ht="18.75" customHeight="1">
      <c r="A216" s="3">
        <v>48061</v>
      </c>
      <c r="C216" s="4" t="s">
        <v>15</v>
      </c>
      <c r="D216" s="1" t="s">
        <v>16</v>
      </c>
      <c r="E216" s="1">
        <v>200000</v>
      </c>
    </row>
    <row r="217" spans="1:5" ht="18.75" customHeight="1">
      <c r="A217" s="3">
        <v>48092</v>
      </c>
      <c r="C217" s="4" t="s">
        <v>15</v>
      </c>
      <c r="D217" s="1" t="s">
        <v>16</v>
      </c>
      <c r="E217" s="1">
        <v>200000</v>
      </c>
    </row>
    <row r="218" spans="1:5" ht="18.75" customHeight="1">
      <c r="A218" s="3">
        <v>48122</v>
      </c>
      <c r="C218" s="4" t="s">
        <v>15</v>
      </c>
      <c r="D218" s="1" t="s">
        <v>16</v>
      </c>
      <c r="E218" s="1">
        <v>200000</v>
      </c>
    </row>
    <row r="219" spans="1:5" ht="18.75" customHeight="1">
      <c r="A219" s="3">
        <v>48153</v>
      </c>
      <c r="C219" s="4" t="s">
        <v>15</v>
      </c>
      <c r="D219" s="1" t="s">
        <v>16</v>
      </c>
      <c r="E219" s="1">
        <v>200000</v>
      </c>
    </row>
    <row r="220" spans="1:5" ht="18.75" customHeight="1">
      <c r="A220" s="3">
        <v>48183</v>
      </c>
      <c r="C220" s="4" t="s">
        <v>15</v>
      </c>
      <c r="D220" s="1" t="s">
        <v>16</v>
      </c>
      <c r="E220" s="1">
        <v>200000</v>
      </c>
    </row>
    <row r="221" spans="1:5" ht="18.75" customHeight="1">
      <c r="A221" s="3">
        <v>48214</v>
      </c>
      <c r="C221" s="4" t="s">
        <v>15</v>
      </c>
      <c r="D221" s="1" t="s">
        <v>16</v>
      </c>
      <c r="E221" s="1">
        <v>200000</v>
      </c>
    </row>
    <row r="222" spans="1:5" ht="18.75" customHeight="1">
      <c r="A222" s="3">
        <v>48245</v>
      </c>
      <c r="C222" s="4" t="s">
        <v>15</v>
      </c>
      <c r="D222" s="1" t="s">
        <v>16</v>
      </c>
      <c r="E222" s="1">
        <v>200000</v>
      </c>
    </row>
    <row r="223" spans="1:5" ht="18.75" customHeight="1">
      <c r="A223" s="3">
        <v>48274</v>
      </c>
      <c r="C223" s="4" t="s">
        <v>15</v>
      </c>
      <c r="D223" s="1" t="s">
        <v>16</v>
      </c>
      <c r="E223" s="1">
        <v>200000</v>
      </c>
    </row>
    <row r="224" spans="1:5" ht="18.75" customHeight="1">
      <c r="A224" s="3">
        <v>48305</v>
      </c>
      <c r="C224" s="4" t="s">
        <v>15</v>
      </c>
      <c r="D224" s="1" t="s">
        <v>16</v>
      </c>
      <c r="E224" s="1">
        <v>200000</v>
      </c>
    </row>
    <row r="225" spans="1:5" ht="18.75" customHeight="1">
      <c r="A225" s="3">
        <v>48335</v>
      </c>
      <c r="C225" s="4" t="s">
        <v>15</v>
      </c>
      <c r="D225" s="1" t="s">
        <v>16</v>
      </c>
      <c r="E225" s="1">
        <v>200000</v>
      </c>
    </row>
    <row r="226" spans="1:5" ht="18.75" customHeight="1">
      <c r="A226" s="3">
        <v>48366</v>
      </c>
      <c r="C226" s="4" t="s">
        <v>15</v>
      </c>
      <c r="D226" s="1" t="s">
        <v>16</v>
      </c>
      <c r="E226" s="1">
        <v>200000</v>
      </c>
    </row>
    <row r="227" spans="1:5" ht="18.75" customHeight="1">
      <c r="A227" s="3">
        <v>48396</v>
      </c>
      <c r="C227" s="4" t="s">
        <v>15</v>
      </c>
      <c r="D227" s="1" t="s">
        <v>16</v>
      </c>
      <c r="E227" s="1">
        <v>200000</v>
      </c>
    </row>
    <row r="228" spans="1:5" ht="18.75" customHeight="1">
      <c r="A228" s="3">
        <v>48427</v>
      </c>
      <c r="C228" s="4" t="s">
        <v>15</v>
      </c>
      <c r="D228" s="1" t="s">
        <v>16</v>
      </c>
      <c r="E228" s="1">
        <v>200000</v>
      </c>
    </row>
    <row r="229" spans="1:5" ht="18.75" customHeight="1">
      <c r="A229" s="3">
        <v>48458</v>
      </c>
      <c r="C229" s="4" t="s">
        <v>15</v>
      </c>
      <c r="D229" s="1" t="s">
        <v>16</v>
      </c>
      <c r="E229" s="1">
        <v>200000</v>
      </c>
    </row>
    <row r="230" spans="1:5" ht="18.75" customHeight="1">
      <c r="A230" s="3">
        <v>48488</v>
      </c>
      <c r="C230" s="4" t="s">
        <v>15</v>
      </c>
      <c r="D230" s="1" t="s">
        <v>16</v>
      </c>
      <c r="E230" s="1">
        <v>200000</v>
      </c>
    </row>
    <row r="231" spans="1:5" ht="18.75" customHeight="1">
      <c r="A231" s="3">
        <v>48519</v>
      </c>
      <c r="C231" s="4" t="s">
        <v>15</v>
      </c>
      <c r="D231" s="1" t="s">
        <v>16</v>
      </c>
      <c r="E231" s="1">
        <v>200000</v>
      </c>
    </row>
    <row r="232" spans="1:5" ht="18.75" customHeight="1">
      <c r="A232" s="3">
        <v>48549</v>
      </c>
      <c r="C232" s="4" t="s">
        <v>15</v>
      </c>
      <c r="D232" s="1" t="s">
        <v>16</v>
      </c>
      <c r="E232" s="1">
        <v>200000</v>
      </c>
    </row>
    <row r="233" spans="1:5" ht="18.75" customHeight="1">
      <c r="A233" s="3">
        <v>48580</v>
      </c>
      <c r="C233" s="4" t="s">
        <v>15</v>
      </c>
      <c r="D233" s="1" t="s">
        <v>16</v>
      </c>
      <c r="E233" s="1">
        <v>200000</v>
      </c>
    </row>
    <row r="234" spans="1:5" ht="18.75" customHeight="1">
      <c r="A234" s="3">
        <v>48611</v>
      </c>
      <c r="C234" s="4" t="s">
        <v>15</v>
      </c>
      <c r="D234" s="1" t="s">
        <v>16</v>
      </c>
      <c r="E234" s="1">
        <v>200000</v>
      </c>
    </row>
    <row r="235" spans="1:5" ht="18.75" customHeight="1">
      <c r="A235" s="3">
        <v>48639</v>
      </c>
      <c r="C235" s="4" t="s">
        <v>15</v>
      </c>
      <c r="D235" s="1" t="s">
        <v>16</v>
      </c>
      <c r="E235" s="1">
        <v>200000</v>
      </c>
    </row>
    <row r="236" spans="1:5" ht="18.75" customHeight="1">
      <c r="A236" s="3">
        <v>48670</v>
      </c>
      <c r="C236" s="4" t="s">
        <v>15</v>
      </c>
      <c r="D236" s="1" t="s">
        <v>16</v>
      </c>
      <c r="E236" s="1">
        <v>200000</v>
      </c>
    </row>
    <row r="237" spans="1:5" ht="18.75" customHeight="1">
      <c r="A237" s="3">
        <v>48700</v>
      </c>
      <c r="C237" s="4" t="s">
        <v>15</v>
      </c>
      <c r="D237" s="1" t="s">
        <v>16</v>
      </c>
      <c r="E237" s="1">
        <v>200000</v>
      </c>
    </row>
    <row r="238" spans="1:5" ht="18.75" customHeight="1">
      <c r="A238" s="3">
        <v>48731</v>
      </c>
      <c r="C238" s="4" t="s">
        <v>15</v>
      </c>
      <c r="D238" s="1" t="s">
        <v>16</v>
      </c>
      <c r="E238" s="1">
        <v>200000</v>
      </c>
    </row>
    <row r="239" spans="1:5" ht="18.75" customHeight="1">
      <c r="A239" s="3">
        <v>48761</v>
      </c>
      <c r="C239" s="4" t="s">
        <v>15</v>
      </c>
      <c r="D239" s="1" t="s">
        <v>16</v>
      </c>
      <c r="E239" s="1">
        <v>200000</v>
      </c>
    </row>
    <row r="240" spans="1:5" ht="18.75" customHeight="1">
      <c r="A240" s="3">
        <v>48792</v>
      </c>
      <c r="C240" s="4" t="s">
        <v>15</v>
      </c>
      <c r="D240" s="1" t="s">
        <v>16</v>
      </c>
      <c r="E240" s="1">
        <v>200000</v>
      </c>
    </row>
    <row r="241" spans="1:5" ht="18.75" customHeight="1">
      <c r="A241" s="3">
        <v>48823</v>
      </c>
      <c r="C241" s="4" t="s">
        <v>15</v>
      </c>
      <c r="D241" s="1" t="s">
        <v>16</v>
      </c>
      <c r="E241" s="1">
        <v>200000</v>
      </c>
    </row>
    <row r="242" spans="1:5" ht="18.75" customHeight="1">
      <c r="A242" s="3">
        <v>48853</v>
      </c>
      <c r="C242" s="4" t="s">
        <v>15</v>
      </c>
      <c r="D242" s="1" t="s">
        <v>16</v>
      </c>
      <c r="E242" s="1">
        <v>200000</v>
      </c>
    </row>
    <row r="243" spans="1:5" ht="18.75" customHeight="1">
      <c r="A243" s="3">
        <v>48884</v>
      </c>
      <c r="C243" s="4" t="s">
        <v>15</v>
      </c>
      <c r="D243" s="1" t="s">
        <v>16</v>
      </c>
      <c r="E243" s="1">
        <v>200000</v>
      </c>
    </row>
    <row r="244" spans="1:5" ht="18.75" customHeight="1">
      <c r="A244" s="3">
        <v>48914</v>
      </c>
      <c r="C244" s="4" t="s">
        <v>15</v>
      </c>
      <c r="D244" s="1" t="s">
        <v>16</v>
      </c>
      <c r="E244" s="1">
        <v>200000</v>
      </c>
    </row>
    <row r="245" spans="1:5" ht="18.75" customHeight="1">
      <c r="A245" s="3">
        <v>48945</v>
      </c>
      <c r="C245" s="4" t="s">
        <v>15</v>
      </c>
      <c r="D245" s="1" t="s">
        <v>16</v>
      </c>
      <c r="E245" s="1">
        <v>200000</v>
      </c>
    </row>
    <row r="246" spans="1:5" ht="18.75" customHeight="1">
      <c r="A246" s="3">
        <v>48976</v>
      </c>
      <c r="C246" s="4" t="s">
        <v>15</v>
      </c>
      <c r="D246" s="1" t="s">
        <v>16</v>
      </c>
      <c r="E246" s="1">
        <v>200000</v>
      </c>
    </row>
    <row r="247" spans="1:5" ht="18.75" customHeight="1">
      <c r="A247" s="3">
        <v>49004</v>
      </c>
      <c r="C247" s="4" t="s">
        <v>15</v>
      </c>
      <c r="D247" s="1" t="s">
        <v>16</v>
      </c>
      <c r="E247" s="1">
        <v>200000</v>
      </c>
    </row>
    <row r="248" spans="1:5" ht="18.75" customHeight="1">
      <c r="A248" s="3">
        <v>49035</v>
      </c>
      <c r="C248" s="4" t="s">
        <v>15</v>
      </c>
      <c r="D248" s="1" t="s">
        <v>16</v>
      </c>
      <c r="E248" s="1">
        <v>200000</v>
      </c>
    </row>
    <row r="249" spans="1:5" ht="18.75" customHeight="1">
      <c r="A249" s="3">
        <v>49065</v>
      </c>
      <c r="C249" s="4" t="s">
        <v>15</v>
      </c>
      <c r="D249" s="1" t="s">
        <v>16</v>
      </c>
      <c r="E249" s="1">
        <v>200000</v>
      </c>
    </row>
    <row r="250" spans="1:5" ht="18.75" customHeight="1">
      <c r="A250" s="3">
        <v>49096</v>
      </c>
      <c r="C250" s="4" t="s">
        <v>15</v>
      </c>
      <c r="D250" s="1" t="s">
        <v>16</v>
      </c>
      <c r="E250" s="1">
        <v>200000</v>
      </c>
    </row>
    <row r="251" spans="1:5" ht="18.75" customHeight="1">
      <c r="A251" s="3">
        <v>49126</v>
      </c>
      <c r="C251" s="4" t="s">
        <v>15</v>
      </c>
      <c r="D251" s="1" t="s">
        <v>16</v>
      </c>
      <c r="E251" s="1">
        <v>200000</v>
      </c>
    </row>
    <row r="252" spans="1:5" ht="18.75" customHeight="1">
      <c r="A252" s="3">
        <v>49157</v>
      </c>
      <c r="C252" s="4" t="s">
        <v>15</v>
      </c>
      <c r="D252" s="1" t="s">
        <v>16</v>
      </c>
      <c r="E252" s="1">
        <v>200000</v>
      </c>
    </row>
    <row r="253" spans="1:5" ht="18.75" customHeight="1">
      <c r="A253" s="3">
        <v>49188</v>
      </c>
      <c r="C253" s="4" t="s">
        <v>15</v>
      </c>
      <c r="D253" s="1" t="s">
        <v>16</v>
      </c>
      <c r="E253" s="1">
        <v>200000</v>
      </c>
    </row>
    <row r="254" spans="1:5" ht="18.75" customHeight="1">
      <c r="A254" s="3">
        <v>49218</v>
      </c>
      <c r="C254" s="4" t="s">
        <v>15</v>
      </c>
      <c r="D254" s="1" t="s">
        <v>16</v>
      </c>
      <c r="E254" s="1">
        <v>200000</v>
      </c>
    </row>
    <row r="255" spans="1:5" ht="18.75" customHeight="1">
      <c r="A255" s="3">
        <v>49249</v>
      </c>
      <c r="C255" s="4" t="s">
        <v>15</v>
      </c>
      <c r="D255" s="1" t="s">
        <v>16</v>
      </c>
      <c r="E255" s="1">
        <v>200000</v>
      </c>
    </row>
    <row r="256" spans="1:5" ht="18.75" customHeight="1">
      <c r="A256" s="3">
        <v>49279</v>
      </c>
      <c r="C256" s="4" t="s">
        <v>15</v>
      </c>
      <c r="D256" s="1" t="s">
        <v>16</v>
      </c>
      <c r="E256" s="1">
        <v>200000</v>
      </c>
    </row>
    <row r="257" spans="1:5" ht="18.75" customHeight="1">
      <c r="A257" s="3">
        <v>49310</v>
      </c>
      <c r="C257" s="4" t="s">
        <v>15</v>
      </c>
      <c r="D257" s="1" t="s">
        <v>16</v>
      </c>
      <c r="E257" s="1">
        <v>200000</v>
      </c>
    </row>
    <row r="258" spans="1:5" ht="18.75" customHeight="1">
      <c r="A258" s="3">
        <v>49341</v>
      </c>
      <c r="C258" s="4" t="s">
        <v>15</v>
      </c>
      <c r="D258" s="1" t="s">
        <v>16</v>
      </c>
      <c r="E258" s="1">
        <v>200000</v>
      </c>
    </row>
    <row r="259" spans="1:5" ht="18.75" customHeight="1">
      <c r="A259" s="3">
        <v>49369</v>
      </c>
      <c r="C259" s="4" t="s">
        <v>15</v>
      </c>
      <c r="D259" s="1" t="s">
        <v>16</v>
      </c>
      <c r="E259" s="1">
        <v>200000</v>
      </c>
    </row>
    <row r="260" spans="1:5" ht="18.75" customHeight="1">
      <c r="A260" s="3">
        <v>49400</v>
      </c>
      <c r="C260" s="4" t="s">
        <v>15</v>
      </c>
      <c r="D260" s="1" t="s">
        <v>16</v>
      </c>
      <c r="E260" s="1">
        <v>200000</v>
      </c>
    </row>
    <row r="261" spans="1:5" ht="18.75" customHeight="1">
      <c r="A261" s="3">
        <v>49430</v>
      </c>
      <c r="C261" s="4" t="s">
        <v>15</v>
      </c>
      <c r="D261" s="1" t="s">
        <v>16</v>
      </c>
      <c r="E261" s="1">
        <v>200000</v>
      </c>
    </row>
    <row r="262" spans="1:5" ht="18.75" customHeight="1">
      <c r="A262" s="3">
        <v>49461</v>
      </c>
      <c r="C262" s="4" t="s">
        <v>15</v>
      </c>
      <c r="D262" s="1" t="s">
        <v>16</v>
      </c>
      <c r="E262" s="1">
        <v>200000</v>
      </c>
    </row>
    <row r="263" spans="1:5" ht="18.75" customHeight="1">
      <c r="A263" s="3">
        <v>49491</v>
      </c>
      <c r="C263" s="4" t="s">
        <v>15</v>
      </c>
      <c r="D263" s="1" t="s">
        <v>16</v>
      </c>
      <c r="E263" s="1">
        <v>200000</v>
      </c>
    </row>
    <row r="264" spans="1:5" ht="18.75" customHeight="1">
      <c r="A264" s="3">
        <v>49522</v>
      </c>
      <c r="C264" s="4" t="s">
        <v>15</v>
      </c>
      <c r="D264" s="1" t="s">
        <v>16</v>
      </c>
      <c r="E264" s="1">
        <v>200000</v>
      </c>
    </row>
    <row r="265" spans="1:5" ht="18.75" customHeight="1">
      <c r="A265" s="3">
        <v>49553</v>
      </c>
      <c r="C265" s="4" t="s">
        <v>15</v>
      </c>
      <c r="D265" s="1" t="s">
        <v>16</v>
      </c>
      <c r="E265" s="1">
        <v>200000</v>
      </c>
    </row>
    <row r="266" spans="1:5" ht="18.75" customHeight="1">
      <c r="A266" s="3">
        <v>49583</v>
      </c>
      <c r="C266" s="4" t="s">
        <v>15</v>
      </c>
      <c r="D266" s="1" t="s">
        <v>16</v>
      </c>
      <c r="E266" s="1">
        <v>200000</v>
      </c>
    </row>
    <row r="267" spans="1:5" ht="18.75" customHeight="1">
      <c r="A267" s="3">
        <v>49614</v>
      </c>
      <c r="C267" s="4" t="s">
        <v>15</v>
      </c>
      <c r="D267" s="1" t="s">
        <v>16</v>
      </c>
      <c r="E267" s="1">
        <v>200000</v>
      </c>
    </row>
    <row r="268" spans="1:5" ht="18.75" customHeight="1">
      <c r="A268" s="3">
        <v>49644</v>
      </c>
      <c r="C268" s="4" t="s">
        <v>15</v>
      </c>
      <c r="D268" s="1" t="s">
        <v>16</v>
      </c>
      <c r="E268" s="1">
        <v>200000</v>
      </c>
    </row>
    <row r="269" spans="1:5" ht="18.75" customHeight="1">
      <c r="A269" s="3">
        <v>49675</v>
      </c>
      <c r="C269" s="4" t="s">
        <v>15</v>
      </c>
      <c r="D269" s="1" t="s">
        <v>16</v>
      </c>
      <c r="E269" s="1">
        <v>200000</v>
      </c>
    </row>
    <row r="270" spans="1:5" ht="18.75" customHeight="1">
      <c r="A270" s="3">
        <v>49706</v>
      </c>
      <c r="C270" s="4" t="s">
        <v>15</v>
      </c>
      <c r="D270" s="1" t="s">
        <v>16</v>
      </c>
      <c r="E270" s="1">
        <v>200000</v>
      </c>
    </row>
    <row r="271" spans="1:5" ht="18.75" customHeight="1">
      <c r="A271" s="3">
        <v>49735</v>
      </c>
      <c r="C271" s="4" t="s">
        <v>15</v>
      </c>
      <c r="D271" s="1" t="s">
        <v>16</v>
      </c>
      <c r="E271" s="1">
        <v>200000</v>
      </c>
    </row>
    <row r="272" spans="1:5" ht="18.75" customHeight="1">
      <c r="A272" s="3">
        <v>49766</v>
      </c>
      <c r="C272" s="4" t="s">
        <v>15</v>
      </c>
      <c r="D272" s="1" t="s">
        <v>16</v>
      </c>
      <c r="E272" s="1">
        <v>200000</v>
      </c>
    </row>
    <row r="273" spans="1:5" ht="18.75" customHeight="1">
      <c r="A273" s="3">
        <v>49796</v>
      </c>
      <c r="C273" s="4" t="s">
        <v>15</v>
      </c>
      <c r="D273" s="1" t="s">
        <v>16</v>
      </c>
      <c r="E273" s="1">
        <v>200000</v>
      </c>
    </row>
    <row r="274" spans="1:5" ht="18.75" customHeight="1">
      <c r="A274" s="3">
        <v>49827</v>
      </c>
      <c r="C274" s="4" t="s">
        <v>15</v>
      </c>
      <c r="D274" s="1" t="s">
        <v>16</v>
      </c>
      <c r="E274" s="1">
        <v>200000</v>
      </c>
    </row>
    <row r="275" spans="1:5" ht="18.75" customHeight="1">
      <c r="A275" s="3">
        <v>49857</v>
      </c>
      <c r="C275" s="4" t="s">
        <v>15</v>
      </c>
      <c r="D275" s="1" t="s">
        <v>16</v>
      </c>
      <c r="E275" s="1">
        <v>200000</v>
      </c>
    </row>
    <row r="276" spans="1:5" ht="18.75" customHeight="1">
      <c r="A276" s="3">
        <v>49888</v>
      </c>
      <c r="C276" s="4" t="s">
        <v>15</v>
      </c>
      <c r="D276" s="1" t="s">
        <v>16</v>
      </c>
      <c r="E276" s="1">
        <v>200000</v>
      </c>
    </row>
    <row r="277" spans="1:5" ht="18.75" customHeight="1">
      <c r="A277" s="3">
        <v>49919</v>
      </c>
      <c r="C277" s="4" t="s">
        <v>15</v>
      </c>
      <c r="D277" s="1" t="s">
        <v>16</v>
      </c>
      <c r="E277" s="1">
        <v>200000</v>
      </c>
    </row>
    <row r="278" spans="1:5" ht="18.75" customHeight="1">
      <c r="A278" s="3">
        <v>49949</v>
      </c>
      <c r="C278" s="4" t="s">
        <v>15</v>
      </c>
      <c r="D278" s="1" t="s">
        <v>16</v>
      </c>
      <c r="E278" s="1">
        <v>200000</v>
      </c>
    </row>
    <row r="279" spans="1:5" ht="18.75" customHeight="1">
      <c r="A279" s="3">
        <v>49980</v>
      </c>
      <c r="C279" s="4" t="s">
        <v>15</v>
      </c>
      <c r="D279" s="1" t="s">
        <v>16</v>
      </c>
      <c r="E279" s="1">
        <v>200000</v>
      </c>
    </row>
    <row r="280" spans="1:5" ht="18.75" customHeight="1">
      <c r="A280" s="3">
        <v>50010</v>
      </c>
      <c r="C280" s="4" t="s">
        <v>15</v>
      </c>
      <c r="D280" s="1" t="s">
        <v>16</v>
      </c>
      <c r="E280" s="1">
        <v>200000</v>
      </c>
    </row>
    <row r="281" spans="1:5" ht="18.75" customHeight="1">
      <c r="A281" s="3">
        <v>50041</v>
      </c>
      <c r="C281" s="4" t="s">
        <v>15</v>
      </c>
      <c r="D281" s="1" t="s">
        <v>16</v>
      </c>
      <c r="E281" s="1">
        <v>200000</v>
      </c>
    </row>
    <row r="282" spans="1:5" ht="18.75" customHeight="1">
      <c r="A282" s="3">
        <v>50072</v>
      </c>
      <c r="C282" s="4" t="s">
        <v>15</v>
      </c>
      <c r="D282" s="1" t="s">
        <v>16</v>
      </c>
      <c r="E282" s="1">
        <v>200000</v>
      </c>
    </row>
    <row r="283" spans="1:5" ht="18.75" customHeight="1">
      <c r="A283" s="3">
        <v>50100</v>
      </c>
      <c r="C283" s="4" t="s">
        <v>15</v>
      </c>
      <c r="D283" s="1" t="s">
        <v>16</v>
      </c>
      <c r="E283" s="1">
        <v>200000</v>
      </c>
    </row>
    <row r="284" spans="1:5" ht="18.75" customHeight="1">
      <c r="A284" s="3">
        <v>50131</v>
      </c>
      <c r="C284" s="4" t="s">
        <v>15</v>
      </c>
      <c r="D284" s="1" t="s">
        <v>16</v>
      </c>
      <c r="E284" s="1">
        <v>200000</v>
      </c>
    </row>
    <row r="285" spans="1:5" ht="18.75" customHeight="1">
      <c r="A285" s="3">
        <v>50161</v>
      </c>
      <c r="C285" s="4" t="s">
        <v>15</v>
      </c>
      <c r="D285" s="1" t="s">
        <v>16</v>
      </c>
      <c r="E285" s="1">
        <v>200000</v>
      </c>
    </row>
    <row r="286" spans="1:5" ht="18.75" customHeight="1">
      <c r="A286" s="3">
        <v>50192</v>
      </c>
      <c r="C286" s="4" t="s">
        <v>15</v>
      </c>
      <c r="D286" s="1" t="s">
        <v>16</v>
      </c>
      <c r="E286" s="1">
        <v>200000</v>
      </c>
    </row>
    <row r="287" spans="1:5" ht="18.75" customHeight="1">
      <c r="A287" s="3">
        <v>50222</v>
      </c>
      <c r="C287" s="4" t="s">
        <v>15</v>
      </c>
      <c r="D287" s="1" t="s">
        <v>16</v>
      </c>
      <c r="E287" s="1">
        <v>200000</v>
      </c>
    </row>
    <row r="288" spans="1:5" ht="18.75" customHeight="1">
      <c r="A288" s="3">
        <v>50253</v>
      </c>
      <c r="C288" s="4" t="s">
        <v>15</v>
      </c>
      <c r="D288" s="1" t="s">
        <v>16</v>
      </c>
      <c r="E288" s="1">
        <v>200000</v>
      </c>
    </row>
    <row r="289" spans="1:5" ht="18.75" customHeight="1">
      <c r="A289" s="3">
        <v>50284</v>
      </c>
      <c r="C289" s="4" t="s">
        <v>15</v>
      </c>
      <c r="D289" s="1" t="s">
        <v>16</v>
      </c>
      <c r="E289" s="1">
        <v>200000</v>
      </c>
    </row>
    <row r="290" spans="1:5" ht="18.75" customHeight="1">
      <c r="A290" s="3">
        <v>50314</v>
      </c>
      <c r="C290" s="4" t="s">
        <v>15</v>
      </c>
      <c r="D290" s="1" t="s">
        <v>16</v>
      </c>
      <c r="E290" s="1">
        <v>200000</v>
      </c>
    </row>
    <row r="291" spans="1:5" ht="18.75" customHeight="1">
      <c r="A291" s="3">
        <v>50345</v>
      </c>
      <c r="C291" s="4" t="s">
        <v>15</v>
      </c>
      <c r="D291" s="1" t="s">
        <v>16</v>
      </c>
      <c r="E291" s="1">
        <v>200000</v>
      </c>
    </row>
    <row r="292" spans="1:5" ht="18.75" customHeight="1">
      <c r="A292" s="3">
        <v>50375</v>
      </c>
      <c r="C292" s="4" t="s">
        <v>15</v>
      </c>
      <c r="D292" s="1" t="s">
        <v>16</v>
      </c>
      <c r="E292" s="1">
        <v>200000</v>
      </c>
    </row>
    <row r="293" spans="1:5" ht="18.75" customHeight="1">
      <c r="A293" s="3">
        <v>50406</v>
      </c>
      <c r="C293" s="4" t="s">
        <v>15</v>
      </c>
      <c r="D293" s="1" t="s">
        <v>16</v>
      </c>
      <c r="E293" s="1">
        <v>200000</v>
      </c>
    </row>
    <row r="294" spans="1:5" ht="18.75" customHeight="1">
      <c r="A294" s="3">
        <v>50437</v>
      </c>
      <c r="C294" s="4" t="s">
        <v>15</v>
      </c>
      <c r="D294" s="1" t="s">
        <v>16</v>
      </c>
      <c r="E294" s="1">
        <v>200000</v>
      </c>
    </row>
    <row r="295" spans="1:5" ht="18.75" customHeight="1">
      <c r="A295" s="3">
        <v>50465</v>
      </c>
      <c r="C295" s="4" t="s">
        <v>15</v>
      </c>
      <c r="D295" s="1" t="s">
        <v>16</v>
      </c>
      <c r="E295" s="1">
        <v>200000</v>
      </c>
    </row>
    <row r="296" spans="1:5" ht="18.75" customHeight="1">
      <c r="A296" s="3">
        <v>50496</v>
      </c>
      <c r="C296" s="4" t="s">
        <v>15</v>
      </c>
      <c r="D296" s="1" t="s">
        <v>16</v>
      </c>
      <c r="E296" s="1">
        <v>200000</v>
      </c>
    </row>
    <row r="297" spans="1:5" ht="18.75" customHeight="1">
      <c r="A297" s="3">
        <v>50526</v>
      </c>
      <c r="C297" s="4" t="s">
        <v>15</v>
      </c>
      <c r="D297" s="1" t="s">
        <v>16</v>
      </c>
      <c r="E297" s="1">
        <v>200000</v>
      </c>
    </row>
    <row r="298" spans="1:5" ht="18.75" customHeight="1">
      <c r="A298" s="3">
        <v>50557</v>
      </c>
      <c r="C298" s="4" t="s">
        <v>15</v>
      </c>
      <c r="D298" s="1" t="s">
        <v>16</v>
      </c>
      <c r="E298" s="1">
        <v>200000</v>
      </c>
    </row>
    <row r="299" spans="1:5" ht="18.75" customHeight="1">
      <c r="A299" s="3">
        <v>50587</v>
      </c>
      <c r="C299" s="4" t="s">
        <v>15</v>
      </c>
      <c r="D299" s="1" t="s">
        <v>16</v>
      </c>
      <c r="E299" s="1">
        <v>200000</v>
      </c>
    </row>
    <row r="300" spans="1:5" ht="18.75" customHeight="1">
      <c r="A300" s="3">
        <v>50618</v>
      </c>
      <c r="C300" s="4" t="s">
        <v>15</v>
      </c>
      <c r="D300" s="1" t="s">
        <v>16</v>
      </c>
      <c r="E300" s="1">
        <v>200000</v>
      </c>
    </row>
    <row r="301" spans="1:5" ht="18.75" customHeight="1">
      <c r="A301" s="3">
        <v>50649</v>
      </c>
      <c r="C301" s="4" t="s">
        <v>15</v>
      </c>
      <c r="D301" s="1" t="s">
        <v>16</v>
      </c>
      <c r="E301" s="1">
        <v>200000</v>
      </c>
    </row>
    <row r="302" spans="1:5" ht="18.75" customHeight="1">
      <c r="A302" s="3">
        <v>50679</v>
      </c>
      <c r="C302" s="4" t="s">
        <v>15</v>
      </c>
      <c r="D302" s="1" t="s">
        <v>16</v>
      </c>
      <c r="E302" s="1">
        <v>200000</v>
      </c>
    </row>
    <row r="303" spans="1:5" ht="18.75" customHeight="1">
      <c r="A303" s="3">
        <v>50710</v>
      </c>
      <c r="C303" s="4" t="s">
        <v>15</v>
      </c>
      <c r="D303" s="1" t="s">
        <v>16</v>
      </c>
      <c r="E303" s="1">
        <v>200000</v>
      </c>
    </row>
    <row r="304" spans="1:5" ht="18.75" customHeight="1">
      <c r="A304" s="3">
        <v>50740</v>
      </c>
      <c r="C304" s="4" t="s">
        <v>15</v>
      </c>
      <c r="D304" s="1" t="s">
        <v>16</v>
      </c>
      <c r="E304" s="1">
        <v>200000</v>
      </c>
    </row>
    <row r="305" spans="1:5" ht="18.75" customHeight="1">
      <c r="A305" s="3">
        <v>50771</v>
      </c>
      <c r="C305" s="4" t="s">
        <v>15</v>
      </c>
      <c r="D305" s="1" t="s">
        <v>16</v>
      </c>
      <c r="E305" s="1">
        <v>200000</v>
      </c>
    </row>
    <row r="306" spans="1:5" ht="18.75" customHeight="1">
      <c r="A306" s="3">
        <v>50802</v>
      </c>
      <c r="C306" s="4" t="s">
        <v>15</v>
      </c>
      <c r="D306" s="1" t="s">
        <v>16</v>
      </c>
      <c r="E306" s="1">
        <v>200000</v>
      </c>
    </row>
    <row r="307" spans="1:5" ht="18.75" customHeight="1">
      <c r="A307" s="3">
        <v>50830</v>
      </c>
      <c r="C307" s="4" t="s">
        <v>15</v>
      </c>
      <c r="D307" s="1" t="s">
        <v>16</v>
      </c>
      <c r="E307" s="1">
        <v>200000</v>
      </c>
    </row>
    <row r="308" spans="1:5" ht="18.75" customHeight="1">
      <c r="A308" s="3">
        <v>50861</v>
      </c>
      <c r="C308" s="4" t="s">
        <v>15</v>
      </c>
      <c r="D308" s="1" t="s">
        <v>16</v>
      </c>
      <c r="E308" s="1">
        <v>200000</v>
      </c>
    </row>
    <row r="309" spans="1:5" ht="18.75" customHeight="1">
      <c r="A309" s="3">
        <v>50891</v>
      </c>
      <c r="C309" s="4" t="s">
        <v>15</v>
      </c>
      <c r="D309" s="1" t="s">
        <v>16</v>
      </c>
      <c r="E309" s="1">
        <v>200000</v>
      </c>
    </row>
    <row r="310" spans="1:5" ht="18.75" customHeight="1">
      <c r="A310" s="3">
        <v>50922</v>
      </c>
      <c r="C310" s="4" t="s">
        <v>15</v>
      </c>
      <c r="D310" s="1" t="s">
        <v>16</v>
      </c>
      <c r="E310" s="1">
        <v>200000</v>
      </c>
    </row>
    <row r="311" spans="1:5" ht="18.75" customHeight="1">
      <c r="A311" s="3">
        <v>50952</v>
      </c>
      <c r="C311" s="4" t="s">
        <v>15</v>
      </c>
      <c r="D311" s="1" t="s">
        <v>16</v>
      </c>
      <c r="E311" s="1">
        <v>200000</v>
      </c>
    </row>
    <row r="312" spans="1:5" ht="18.75" customHeight="1">
      <c r="A312" s="3">
        <v>50983</v>
      </c>
      <c r="C312" s="4" t="s">
        <v>15</v>
      </c>
      <c r="D312" s="1" t="s">
        <v>16</v>
      </c>
      <c r="E312" s="1">
        <v>200000</v>
      </c>
    </row>
    <row r="313" spans="1:5" ht="18.75" customHeight="1">
      <c r="A313" s="3">
        <v>51014</v>
      </c>
      <c r="C313" s="4" t="s">
        <v>15</v>
      </c>
      <c r="D313" s="1" t="s">
        <v>16</v>
      </c>
      <c r="E313" s="1">
        <v>200000</v>
      </c>
    </row>
    <row r="314" spans="1:5" ht="18.75" customHeight="1">
      <c r="A314" s="3">
        <v>51044</v>
      </c>
      <c r="C314" s="4" t="s">
        <v>15</v>
      </c>
      <c r="D314" s="1" t="s">
        <v>16</v>
      </c>
      <c r="E314" s="1">
        <v>200000</v>
      </c>
    </row>
    <row r="315" spans="1:5" ht="18.75" customHeight="1">
      <c r="A315" s="3">
        <v>51075</v>
      </c>
      <c r="C315" s="4" t="s">
        <v>15</v>
      </c>
      <c r="D315" s="1" t="s">
        <v>16</v>
      </c>
      <c r="E315" s="1">
        <v>200000</v>
      </c>
    </row>
    <row r="316" spans="1:5" ht="18.75" customHeight="1">
      <c r="A316" s="3">
        <v>51105</v>
      </c>
      <c r="C316" s="4" t="s">
        <v>15</v>
      </c>
      <c r="D316" s="1" t="s">
        <v>16</v>
      </c>
      <c r="E316" s="1">
        <v>200000</v>
      </c>
    </row>
    <row r="317" spans="1:5" ht="18.75" customHeight="1">
      <c r="A317" s="3">
        <v>51136</v>
      </c>
      <c r="C317" s="4" t="s">
        <v>15</v>
      </c>
      <c r="D317" s="1" t="s">
        <v>16</v>
      </c>
      <c r="E317" s="1">
        <v>200000</v>
      </c>
    </row>
    <row r="318" spans="1:5" ht="18.75" customHeight="1">
      <c r="A318" s="3">
        <v>51167</v>
      </c>
      <c r="C318" s="4" t="s">
        <v>15</v>
      </c>
      <c r="D318" s="1" t="s">
        <v>16</v>
      </c>
      <c r="E318" s="1">
        <v>200000</v>
      </c>
    </row>
    <row r="319" spans="1:5" ht="18.75" customHeight="1">
      <c r="A319" s="3">
        <v>51196</v>
      </c>
      <c r="C319" s="4" t="s">
        <v>15</v>
      </c>
      <c r="D319" s="1" t="s">
        <v>16</v>
      </c>
      <c r="E319" s="1">
        <v>200000</v>
      </c>
    </row>
    <row r="320" spans="1:5" ht="18.75" customHeight="1">
      <c r="A320" s="3">
        <v>51227</v>
      </c>
      <c r="C320" s="4" t="s">
        <v>15</v>
      </c>
      <c r="D320" s="1" t="s">
        <v>16</v>
      </c>
      <c r="E320" s="1">
        <v>200000</v>
      </c>
    </row>
    <row r="321" spans="1:5" ht="18.75" customHeight="1">
      <c r="A321" s="3">
        <v>51257</v>
      </c>
      <c r="C321" s="4" t="s">
        <v>15</v>
      </c>
      <c r="D321" s="1" t="s">
        <v>16</v>
      </c>
      <c r="E321" s="1">
        <v>200000</v>
      </c>
    </row>
    <row r="322" spans="1:5" ht="18.75" customHeight="1">
      <c r="A322" s="3">
        <v>51288</v>
      </c>
      <c r="C322" s="4" t="s">
        <v>15</v>
      </c>
      <c r="D322" s="1" t="s">
        <v>16</v>
      </c>
      <c r="E322" s="1">
        <v>200000</v>
      </c>
    </row>
    <row r="323" spans="1:5" ht="18.75" customHeight="1">
      <c r="A323" s="3">
        <v>51318</v>
      </c>
      <c r="C323" s="4" t="s">
        <v>15</v>
      </c>
      <c r="D323" s="1" t="s">
        <v>16</v>
      </c>
      <c r="E323" s="1">
        <v>200000</v>
      </c>
    </row>
    <row r="324" spans="1:5" ht="18.75" customHeight="1">
      <c r="A324" s="3">
        <v>51349</v>
      </c>
      <c r="C324" s="4" t="s">
        <v>15</v>
      </c>
      <c r="D324" s="1" t="s">
        <v>16</v>
      </c>
      <c r="E324" s="1">
        <v>200000</v>
      </c>
    </row>
    <row r="325" spans="1:5" ht="18.75" customHeight="1">
      <c r="A325" s="3">
        <v>51380</v>
      </c>
      <c r="C325" s="4" t="s">
        <v>15</v>
      </c>
      <c r="D325" s="1" t="s">
        <v>16</v>
      </c>
      <c r="E325" s="1">
        <v>200000</v>
      </c>
    </row>
    <row r="326" spans="1:5" ht="18.75" customHeight="1">
      <c r="A326" s="3">
        <v>51410</v>
      </c>
      <c r="C326" s="4" t="s">
        <v>15</v>
      </c>
      <c r="D326" s="1" t="s">
        <v>16</v>
      </c>
      <c r="E326" s="1">
        <v>200000</v>
      </c>
    </row>
    <row r="327" spans="1:5" ht="18.75" customHeight="1">
      <c r="A327" s="3">
        <v>51441</v>
      </c>
      <c r="C327" s="4" t="s">
        <v>15</v>
      </c>
      <c r="D327" s="1" t="s">
        <v>16</v>
      </c>
      <c r="E327" s="1">
        <v>200000</v>
      </c>
    </row>
    <row r="328" spans="1:5" ht="18.75" customHeight="1">
      <c r="A328" s="3">
        <v>51471</v>
      </c>
      <c r="C328" s="4" t="s">
        <v>15</v>
      </c>
      <c r="D328" s="1" t="s">
        <v>16</v>
      </c>
      <c r="E328" s="1">
        <v>200000</v>
      </c>
    </row>
    <row r="329" spans="1:5" ht="18.75" customHeight="1"/>
    <row r="330" spans="1:5" ht="18.75" customHeight="1"/>
    <row r="331" spans="1:5" ht="18.75" customHeight="1"/>
    <row r="332" spans="1:5" ht="18.75" customHeight="1"/>
    <row r="333" spans="1:5" ht="18.75" customHeight="1"/>
    <row r="334" spans="1:5" ht="18.75" customHeight="1"/>
    <row r="335" spans="1:5" ht="18.75" customHeight="1"/>
    <row r="336" spans="1:5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TAKESHI SHIMOMA</dc:creator>
  <cp:keywords/>
  <dc:description/>
  <cp:lastModifiedBy>ゲスト ユーザー</cp:lastModifiedBy>
  <cp:revision>8</cp:revision>
  <dcterms:created xsi:type="dcterms:W3CDTF">2022-05-19T02:48:07Z</dcterms:created>
  <dcterms:modified xsi:type="dcterms:W3CDTF">2023-12-17T03:55:52Z</dcterms:modified>
  <cp:category/>
  <cp:contentStatus/>
</cp:coreProperties>
</file>